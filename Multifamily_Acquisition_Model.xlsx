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ude\Desktop\"/>
    </mc:Choice>
  </mc:AlternateContent>
  <xr:revisionPtr revIDLastSave="0" documentId="13_ncr:1_{A9DC1C5A-DF24-4029-9F3B-B1692C4E29CE}" xr6:coauthVersionLast="47" xr6:coauthVersionMax="47" xr10:uidLastSave="{00000000-0000-0000-0000-000000000000}"/>
  <bookViews>
    <workbookView xWindow="-120" yWindow="-120" windowWidth="29040" windowHeight="15720" tabRatio="745" activeTab="6" xr2:uid="{00000000-000D-0000-FFFF-FFFF00000000}"/>
  </bookViews>
  <sheets>
    <sheet name="Project Explanation" sheetId="7" r:id="rId1"/>
    <sheet name="Assumptions" sheetId="1" r:id="rId2"/>
    <sheet name="Rent Roll" sheetId="2" r:id="rId3"/>
    <sheet name="Operating Expenses" sheetId="3" r:id="rId4"/>
    <sheet name="Debt Schedule" sheetId="4" r:id="rId5"/>
    <sheet name="Cash Flow &amp; Returns" sheetId="5" r:id="rId6"/>
    <sheet name="Sensitivity" sheetId="6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0" i="7" l="1"/>
  <c r="L50" i="7"/>
  <c r="M50" i="7"/>
  <c r="G23" i="5"/>
  <c r="G27" i="5"/>
  <c r="B31" i="5"/>
  <c r="O51" i="7"/>
  <c r="N51" i="7"/>
  <c r="M51" i="7"/>
  <c r="D31" i="7" s="1"/>
  <c r="L51" i="7"/>
  <c r="K51" i="7"/>
  <c r="B10" i="7"/>
  <c r="C31" i="7" s="1"/>
  <c r="P51" i="7" s="1"/>
  <c r="B11" i="7"/>
  <c r="E10" i="7"/>
  <c r="E5" i="7"/>
  <c r="O50" i="7"/>
  <c r="N50" i="7"/>
  <c r="C29" i="7"/>
  <c r="C18" i="7"/>
  <c r="E12" i="7"/>
  <c r="E11" i="7"/>
  <c r="E9" i="7"/>
  <c r="E8" i="7"/>
  <c r="E7" i="7"/>
  <c r="E6" i="7"/>
  <c r="B14" i="7"/>
  <c r="B9" i="7"/>
  <c r="B7" i="7"/>
  <c r="B8" i="7" s="1"/>
  <c r="B6" i="7"/>
  <c r="B5" i="7"/>
  <c r="N42" i="6"/>
  <c r="M42" i="6"/>
  <c r="L42" i="6"/>
  <c r="K42" i="6"/>
  <c r="J42" i="6"/>
  <c r="O41" i="6"/>
  <c r="P41" i="6" s="1"/>
  <c r="F11" i="6" s="1"/>
  <c r="N41" i="6"/>
  <c r="M41" i="6"/>
  <c r="L41" i="6"/>
  <c r="K41" i="6"/>
  <c r="J41" i="6"/>
  <c r="N40" i="6"/>
  <c r="M40" i="6"/>
  <c r="L40" i="6"/>
  <c r="K40" i="6"/>
  <c r="J40" i="6"/>
  <c r="N39" i="6"/>
  <c r="M39" i="6"/>
  <c r="L39" i="6"/>
  <c r="K39" i="6"/>
  <c r="J39" i="6"/>
  <c r="N38" i="6"/>
  <c r="M38" i="6"/>
  <c r="L38" i="6"/>
  <c r="K38" i="6"/>
  <c r="J38" i="6"/>
  <c r="O37" i="6"/>
  <c r="P37" i="6" s="1"/>
  <c r="G10" i="6" s="1"/>
  <c r="N37" i="6"/>
  <c r="M37" i="6"/>
  <c r="L37" i="6"/>
  <c r="K37" i="6"/>
  <c r="J37" i="6"/>
  <c r="N36" i="6"/>
  <c r="M36" i="6"/>
  <c r="L36" i="6"/>
  <c r="K36" i="6"/>
  <c r="J36" i="6"/>
  <c r="N35" i="6"/>
  <c r="M35" i="6"/>
  <c r="L35" i="6"/>
  <c r="K35" i="6"/>
  <c r="J35" i="6"/>
  <c r="N34" i="6"/>
  <c r="M34" i="6"/>
  <c r="L34" i="6"/>
  <c r="K34" i="6"/>
  <c r="J34" i="6"/>
  <c r="N33" i="6"/>
  <c r="M33" i="6"/>
  <c r="L33" i="6"/>
  <c r="K33" i="6"/>
  <c r="J33" i="6"/>
  <c r="P32" i="6"/>
  <c r="G9" i="6" s="1"/>
  <c r="O32" i="6"/>
  <c r="N32" i="6"/>
  <c r="M32" i="6"/>
  <c r="L32" i="6"/>
  <c r="K32" i="6"/>
  <c r="J32" i="6"/>
  <c r="N31" i="6"/>
  <c r="M31" i="6"/>
  <c r="L31" i="6"/>
  <c r="K31" i="6"/>
  <c r="J31" i="6"/>
  <c r="N30" i="6"/>
  <c r="M30" i="6"/>
  <c r="L30" i="6"/>
  <c r="K30" i="6"/>
  <c r="J30" i="6"/>
  <c r="N29" i="6"/>
  <c r="M29" i="6"/>
  <c r="L29" i="6"/>
  <c r="K29" i="6"/>
  <c r="J29" i="6"/>
  <c r="N28" i="6"/>
  <c r="M28" i="6"/>
  <c r="L28" i="6"/>
  <c r="K28" i="6"/>
  <c r="J28" i="6"/>
  <c r="N27" i="6"/>
  <c r="M27" i="6"/>
  <c r="L27" i="6"/>
  <c r="K27" i="6"/>
  <c r="J27" i="6"/>
  <c r="N26" i="6"/>
  <c r="M26" i="6"/>
  <c r="L26" i="6"/>
  <c r="K26" i="6"/>
  <c r="J26" i="6"/>
  <c r="N25" i="6"/>
  <c r="M25" i="6"/>
  <c r="L25" i="6"/>
  <c r="K25" i="6"/>
  <c r="J25" i="6"/>
  <c r="N24" i="6"/>
  <c r="M24" i="6"/>
  <c r="L24" i="6"/>
  <c r="K24" i="6"/>
  <c r="J24" i="6"/>
  <c r="N23" i="6"/>
  <c r="M23" i="6"/>
  <c r="L23" i="6"/>
  <c r="K23" i="6"/>
  <c r="J23" i="6"/>
  <c r="N22" i="6"/>
  <c r="M22" i="6"/>
  <c r="L22" i="6"/>
  <c r="K22" i="6"/>
  <c r="J22" i="6"/>
  <c r="N21" i="6"/>
  <c r="M21" i="6"/>
  <c r="L21" i="6"/>
  <c r="K21" i="6"/>
  <c r="J21" i="6"/>
  <c r="N20" i="6"/>
  <c r="M20" i="6"/>
  <c r="L20" i="6"/>
  <c r="K20" i="6"/>
  <c r="J20" i="6"/>
  <c r="N19" i="6"/>
  <c r="M19" i="6"/>
  <c r="L19" i="6"/>
  <c r="K19" i="6"/>
  <c r="J19" i="6"/>
  <c r="N18" i="6"/>
  <c r="M18" i="6"/>
  <c r="L18" i="6"/>
  <c r="K18" i="6"/>
  <c r="J18" i="6"/>
  <c r="L14" i="6"/>
  <c r="K14" i="6"/>
  <c r="I14" i="6"/>
  <c r="J14" i="6" s="1"/>
  <c r="J13" i="6"/>
  <c r="I13" i="6"/>
  <c r="N13" i="6" s="1"/>
  <c r="O13" i="6" s="1"/>
  <c r="L12" i="6"/>
  <c r="I12" i="6"/>
  <c r="N12" i="6" s="1"/>
  <c r="O12" i="6" s="1"/>
  <c r="N11" i="6"/>
  <c r="O11" i="6" s="1"/>
  <c r="J11" i="6"/>
  <c r="I11" i="6"/>
  <c r="L11" i="6" s="1"/>
  <c r="O10" i="6"/>
  <c r="N10" i="6"/>
  <c r="M10" i="6"/>
  <c r="L10" i="6"/>
  <c r="K10" i="6"/>
  <c r="J10" i="6"/>
  <c r="I10" i="6"/>
  <c r="B11" i="6"/>
  <c r="B10" i="6"/>
  <c r="B9" i="6"/>
  <c r="B8" i="6"/>
  <c r="B7" i="6"/>
  <c r="G6" i="6"/>
  <c r="O27" i="6" s="1"/>
  <c r="P27" i="6" s="1"/>
  <c r="G8" i="6" s="1"/>
  <c r="F6" i="6"/>
  <c r="O36" i="6" s="1"/>
  <c r="P36" i="6" s="1"/>
  <c r="F10" i="6" s="1"/>
  <c r="E6" i="6"/>
  <c r="O40" i="6" s="1"/>
  <c r="P40" i="6" s="1"/>
  <c r="E11" i="6" s="1"/>
  <c r="D6" i="6"/>
  <c r="O29" i="6" s="1"/>
  <c r="P29" i="6" s="1"/>
  <c r="D9" i="6" s="1"/>
  <c r="C6" i="6"/>
  <c r="O18" i="6" s="1"/>
  <c r="P18" i="6" s="1"/>
  <c r="C7" i="6" s="1"/>
  <c r="B35" i="5"/>
  <c r="B34" i="5"/>
  <c r="B32" i="5"/>
  <c r="F27" i="5"/>
  <c r="E27" i="5"/>
  <c r="D27" i="5"/>
  <c r="C27" i="5"/>
  <c r="B27" i="5"/>
  <c r="G25" i="5"/>
  <c r="F25" i="5"/>
  <c r="E25" i="5"/>
  <c r="D25" i="5"/>
  <c r="C25" i="5"/>
  <c r="F23" i="5"/>
  <c r="E23" i="5"/>
  <c r="D23" i="5"/>
  <c r="C23" i="5"/>
  <c r="B23" i="5"/>
  <c r="G21" i="5"/>
  <c r="F21" i="5"/>
  <c r="E21" i="5"/>
  <c r="D21" i="5"/>
  <c r="C21" i="5"/>
  <c r="G20" i="5"/>
  <c r="F20" i="5"/>
  <c r="E20" i="5"/>
  <c r="D20" i="5"/>
  <c r="C20" i="5"/>
  <c r="B20" i="5"/>
  <c r="B16" i="5"/>
  <c r="B12" i="5"/>
  <c r="B13" i="5" s="1"/>
  <c r="B11" i="5"/>
  <c r="B10" i="5"/>
  <c r="B7" i="5"/>
  <c r="B6" i="5"/>
  <c r="B5" i="5"/>
  <c r="F20" i="4"/>
  <c r="E20" i="4"/>
  <c r="D20" i="4"/>
  <c r="C20" i="4"/>
  <c r="B20" i="4"/>
  <c r="F19" i="4"/>
  <c r="E19" i="4"/>
  <c r="D19" i="4"/>
  <c r="C19" i="4"/>
  <c r="B19" i="4"/>
  <c r="F18" i="4"/>
  <c r="E18" i="4"/>
  <c r="D18" i="4"/>
  <c r="C18" i="4"/>
  <c r="B18" i="4"/>
  <c r="F17" i="4"/>
  <c r="E17" i="4"/>
  <c r="D17" i="4"/>
  <c r="C17" i="4"/>
  <c r="B17" i="4"/>
  <c r="B16" i="4"/>
  <c r="B15" i="4"/>
  <c r="F14" i="4"/>
  <c r="F15" i="4" s="1"/>
  <c r="F16" i="4" s="1"/>
  <c r="E14" i="4"/>
  <c r="E15" i="4" s="1"/>
  <c r="E16" i="4" s="1"/>
  <c r="D14" i="4"/>
  <c r="D15" i="4" s="1"/>
  <c r="D16" i="4" s="1"/>
  <c r="C14" i="4"/>
  <c r="C15" i="4" s="1"/>
  <c r="C16" i="4" s="1"/>
  <c r="B14" i="4"/>
  <c r="F13" i="4"/>
  <c r="E13" i="4"/>
  <c r="D13" i="4"/>
  <c r="C13" i="4"/>
  <c r="B13" i="4"/>
  <c r="B10" i="4"/>
  <c r="B9" i="4"/>
  <c r="B8" i="4"/>
  <c r="B7" i="4"/>
  <c r="B6" i="4"/>
  <c r="B5" i="4"/>
  <c r="C17" i="3"/>
  <c r="F21" i="3"/>
  <c r="E21" i="3"/>
  <c r="D21" i="3"/>
  <c r="B21" i="3"/>
  <c r="F20" i="3"/>
  <c r="E20" i="3"/>
  <c r="D20" i="3"/>
  <c r="C20" i="3"/>
  <c r="B20" i="3"/>
  <c r="F19" i="3"/>
  <c r="E19" i="3"/>
  <c r="D19" i="3"/>
  <c r="C19" i="3"/>
  <c r="C21" i="3" s="1"/>
  <c r="B19" i="3"/>
  <c r="F18" i="3"/>
  <c r="E18" i="3"/>
  <c r="D18" i="3"/>
  <c r="C18" i="3"/>
  <c r="B18" i="3"/>
  <c r="F17" i="3"/>
  <c r="E17" i="3"/>
  <c r="D17" i="3"/>
  <c r="B17" i="3"/>
  <c r="F16" i="3"/>
  <c r="E16" i="3"/>
  <c r="D16" i="3"/>
  <c r="C16" i="3"/>
  <c r="B16" i="3"/>
  <c r="F15" i="3"/>
  <c r="E15" i="3"/>
  <c r="D15" i="3"/>
  <c r="C15" i="3"/>
  <c r="B15" i="3"/>
  <c r="C12" i="3"/>
  <c r="B12" i="3"/>
  <c r="C11" i="3"/>
  <c r="C10" i="3"/>
  <c r="C9" i="3"/>
  <c r="C8" i="3"/>
  <c r="C7" i="3"/>
  <c r="C6" i="3"/>
  <c r="B25" i="1"/>
  <c r="B18" i="2"/>
  <c r="C18" i="2" s="1"/>
  <c r="F14" i="2"/>
  <c r="E14" i="2"/>
  <c r="D14" i="2"/>
  <c r="C14" i="2"/>
  <c r="B14" i="2"/>
  <c r="D10" i="2"/>
  <c r="C10" i="2"/>
  <c r="B10" i="2"/>
  <c r="B11" i="2" s="1"/>
  <c r="F9" i="2"/>
  <c r="E9" i="2"/>
  <c r="F8" i="2"/>
  <c r="E8" i="2"/>
  <c r="F7" i="2"/>
  <c r="E7" i="2"/>
  <c r="E6" i="2"/>
  <c r="F6" i="2" s="1"/>
  <c r="F10" i="2" s="1"/>
  <c r="B15" i="2" s="1"/>
  <c r="B13" i="1"/>
  <c r="E31" i="7" l="1"/>
  <c r="C30" i="7"/>
  <c r="P50" i="7" s="1"/>
  <c r="C17" i="7"/>
  <c r="C19" i="7"/>
  <c r="B14" i="5"/>
  <c r="B15" i="5"/>
  <c r="O28" i="6"/>
  <c r="P28" i="6" s="1"/>
  <c r="C9" i="6" s="1"/>
  <c r="O42" i="6"/>
  <c r="P42" i="6" s="1"/>
  <c r="G11" i="6" s="1"/>
  <c r="O33" i="6"/>
  <c r="P33" i="6" s="1"/>
  <c r="C10" i="6" s="1"/>
  <c r="O24" i="6"/>
  <c r="P24" i="6" s="1"/>
  <c r="D8" i="6" s="1"/>
  <c r="O39" i="6"/>
  <c r="P39" i="6" s="1"/>
  <c r="D11" i="6" s="1"/>
  <c r="O34" i="6"/>
  <c r="P34" i="6" s="1"/>
  <c r="D10" i="6" s="1"/>
  <c r="O35" i="6"/>
  <c r="P35" i="6" s="1"/>
  <c r="E10" i="6" s="1"/>
  <c r="O20" i="6"/>
  <c r="P20" i="6" s="1"/>
  <c r="E7" i="6" s="1"/>
  <c r="O26" i="6"/>
  <c r="P26" i="6" s="1"/>
  <c r="F8" i="6" s="1"/>
  <c r="O25" i="6"/>
  <c r="P25" i="6" s="1"/>
  <c r="E8" i="6" s="1"/>
  <c r="O19" i="6"/>
  <c r="P19" i="6" s="1"/>
  <c r="D7" i="6" s="1"/>
  <c r="O21" i="6"/>
  <c r="P21" i="6" s="1"/>
  <c r="F7" i="6" s="1"/>
  <c r="O23" i="6"/>
  <c r="P23" i="6" s="1"/>
  <c r="C8" i="6" s="1"/>
  <c r="O31" i="6"/>
  <c r="P31" i="6" s="1"/>
  <c r="F9" i="6" s="1"/>
  <c r="O30" i="6"/>
  <c r="P30" i="6" s="1"/>
  <c r="E9" i="6" s="1"/>
  <c r="O22" i="6"/>
  <c r="P22" i="6" s="1"/>
  <c r="G7" i="6" s="1"/>
  <c r="O38" i="6"/>
  <c r="P38" i="6" s="1"/>
  <c r="C11" i="6" s="1"/>
  <c r="E30" i="7"/>
  <c r="D30" i="7"/>
  <c r="K11" i="6"/>
  <c r="M11" i="6"/>
  <c r="J12" i="6"/>
  <c r="K13" i="6"/>
  <c r="M13" i="6"/>
  <c r="M14" i="6"/>
  <c r="K12" i="6"/>
  <c r="M12" i="6"/>
  <c r="L13" i="6"/>
  <c r="N14" i="6"/>
  <c r="O14" i="6" s="1"/>
  <c r="E10" i="2"/>
  <c r="C15" i="2"/>
  <c r="B16" i="2"/>
  <c r="B17" i="2" s="1"/>
  <c r="B19" i="2" s="1"/>
  <c r="D18" i="2"/>
  <c r="E18" i="2" s="1"/>
  <c r="F18" i="2" s="1"/>
  <c r="B17" i="5" l="1"/>
  <c r="G26" i="5" s="1"/>
  <c r="G22" i="5"/>
  <c r="B30" i="5" s="1"/>
  <c r="D15" i="2"/>
  <c r="C16" i="2"/>
  <c r="C17" i="2" s="1"/>
  <c r="C19" i="2" s="1"/>
  <c r="B33" i="5" l="1"/>
  <c r="E15" i="2"/>
  <c r="D16" i="2"/>
  <c r="D17" i="2" s="1"/>
  <c r="D19" i="2" s="1"/>
  <c r="D29" i="7" l="1"/>
  <c r="B12" i="7"/>
  <c r="E29" i="7"/>
  <c r="B13" i="7"/>
  <c r="E16" i="2"/>
  <c r="E17" i="2" s="1"/>
  <c r="E19" i="2" s="1"/>
  <c r="F15" i="2"/>
  <c r="F16" i="2" l="1"/>
  <c r="F17" i="2" s="1"/>
  <c r="F19" i="2" s="1"/>
</calcChain>
</file>

<file path=xl/sharedStrings.xml><?xml version="1.0" encoding="utf-8"?>
<sst xmlns="http://schemas.openxmlformats.org/spreadsheetml/2006/main" count="249" uniqueCount="218">
  <si>
    <t>Multi-Family Acquisition Model — Assumptions</t>
  </si>
  <si>
    <t>Property Overview</t>
  </si>
  <si>
    <t>Property Name</t>
  </si>
  <si>
    <t>Sample Gardens Apartments</t>
  </si>
  <si>
    <t>Address</t>
  </si>
  <si>
    <t>123 Main St, Anytown, USA</t>
  </si>
  <si>
    <t>Number of Units</t>
  </si>
  <si>
    <t>Year Built</t>
  </si>
  <si>
    <t>Rentable Square Feet</t>
  </si>
  <si>
    <t>Purchase Price</t>
  </si>
  <si>
    <t>Closing Costs (% of Price)</t>
  </si>
  <si>
    <t>CapEx Reserve at Close ($/unit)</t>
  </si>
  <si>
    <t>Total Acquisition Cost</t>
  </si>
  <si>
    <t>Operating Assumptions</t>
  </si>
  <si>
    <t>Vacancy &amp; Credit Loss</t>
  </si>
  <si>
    <t>Annual Rent Growth</t>
  </si>
  <si>
    <t>Annual Expense Growth</t>
  </si>
  <si>
    <t>Other Income ($/unit/month)</t>
  </si>
  <si>
    <t>Management Fee (% of EGI)</t>
  </si>
  <si>
    <t>Replacement Reserves ($/unit/yr)</t>
  </si>
  <si>
    <t>Financing Assumptions</t>
  </si>
  <si>
    <t>Loan-to-Value (LTV)</t>
  </si>
  <si>
    <t>Loan Amount</t>
  </si>
  <si>
    <t>Interest Rate (Annual)</t>
  </si>
  <si>
    <t>Amortization Period (Years)</t>
  </si>
  <si>
    <t>Loan Term (Years)</t>
  </si>
  <si>
    <t>Interest-Only Period (Years)</t>
  </si>
  <si>
    <t>Exit &amp; Return Assumptions</t>
  </si>
  <si>
    <t>Hold Period (Years)</t>
  </si>
  <si>
    <t>Exit Capitalization Rate</t>
  </si>
  <si>
    <t>Selling Costs (% of Sale Price)</t>
  </si>
  <si>
    <t>Target Levered IRR</t>
  </si>
  <si>
    <t>Reference Cells (linked by other tabs)</t>
  </si>
  <si>
    <t>Units</t>
  </si>
  <si>
    <t>Row 8</t>
  </si>
  <si>
    <t>Row 10</t>
  </si>
  <si>
    <t>Row 13</t>
  </si>
  <si>
    <t>Vacancy %</t>
  </si>
  <si>
    <t>Row 16</t>
  </si>
  <si>
    <t>Rent Growth %</t>
  </si>
  <si>
    <t>Row 17</t>
  </si>
  <si>
    <t>Expense Growth %</t>
  </si>
  <si>
    <t>Row 18</t>
  </si>
  <si>
    <t>Other Income/unit/mo</t>
  </si>
  <si>
    <t>Row 19</t>
  </si>
  <si>
    <t>Management Fee %</t>
  </si>
  <si>
    <t>Row 20</t>
  </si>
  <si>
    <t>Reserves/unit/yr</t>
  </si>
  <si>
    <t>Row 21</t>
  </si>
  <si>
    <t>Row 25</t>
  </si>
  <si>
    <t>Interest Rate</t>
  </si>
  <si>
    <t>Row 26</t>
  </si>
  <si>
    <t>Amortization Yrs</t>
  </si>
  <si>
    <t>Row 27</t>
  </si>
  <si>
    <t>Loan Term Yrs</t>
  </si>
  <si>
    <t>Row 28</t>
  </si>
  <si>
    <t>IO Period Yrs</t>
  </si>
  <si>
    <t>Row 29</t>
  </si>
  <si>
    <t>Hold Period Yrs</t>
  </si>
  <si>
    <t>Row 32</t>
  </si>
  <si>
    <t>Exit Cap Rate</t>
  </si>
  <si>
    <t>Row 33</t>
  </si>
  <si>
    <t>Selling Costs %</t>
  </si>
  <si>
    <t>Row 34</t>
  </si>
  <si>
    <t>Multi-Family Acquisition Model — Rent Roll / Revenue</t>
  </si>
  <si>
    <t>Blue cells are placeholder inputs — replace with your property's actual unit mix.</t>
  </si>
  <si>
    <t>Unit Mix &amp; Market Rents</t>
  </si>
  <si>
    <t>Unit Type</t>
  </si>
  <si>
    <t># of Units</t>
  </si>
  <si>
    <t>Avg SF/Unit</t>
  </si>
  <si>
    <t>Market Rent ($/unit/mo)</t>
  </si>
  <si>
    <t>Monthly Rent ($)</t>
  </si>
  <si>
    <t>Annual Rent ($)</t>
  </si>
  <si>
    <t>Studio</t>
  </si>
  <si>
    <t>1BR / 1BA</t>
  </si>
  <si>
    <t>2BR / 2BA</t>
  </si>
  <si>
    <t>3BR / 2BA</t>
  </si>
  <si>
    <t>Total / Weighted Avg</t>
  </si>
  <si>
    <t>Check: Total Units vs. Assumptions</t>
  </si>
  <si>
    <t>5-Year Revenue Projection</t>
  </si>
  <si>
    <t>Gross Potential Rent (GPR)</t>
  </si>
  <si>
    <t>Net Rental Income</t>
  </si>
  <si>
    <t>Other Income</t>
  </si>
  <si>
    <t>Effective Gross Income (EGI)</t>
  </si>
  <si>
    <t>All green cells are placeholder inputs — replace with your property's actual data.</t>
  </si>
  <si>
    <t>Multi-Family Acquisition Model — Operating Expenses</t>
  </si>
  <si>
    <t>Blue cells are placeholder inputs — replace with your property's actual expense data.</t>
  </si>
  <si>
    <t>Year 1 Expense Assumptions</t>
  </si>
  <si>
    <t>Expense Category</t>
  </si>
  <si>
    <t>$/Unit/Year</t>
  </si>
  <si>
    <t>Year 1 Total ($)</t>
  </si>
  <si>
    <t>Property Taxes</t>
  </si>
  <si>
    <t>Insurance</t>
  </si>
  <si>
    <t>Repairs &amp; Maintenance</t>
  </si>
  <si>
    <t>Utilities</t>
  </si>
  <si>
    <t>General &amp; Administrative</t>
  </si>
  <si>
    <t>Marketing &amp; Leasing</t>
  </si>
  <si>
    <t>Subtotal — Fixed/Controllable Opex</t>
  </si>
  <si>
    <t>5-Year Operating Expense &amp; NOI Projection</t>
  </si>
  <si>
    <t>Fixed/Controllable Opex</t>
  </si>
  <si>
    <t>Management Fee</t>
  </si>
  <si>
    <t>Replacement Reserves</t>
  </si>
  <si>
    <t>Total Operating Expenses</t>
  </si>
  <si>
    <t>Net Operating Income (NOI)</t>
  </si>
  <si>
    <t>Multi-Family Acquisition Model — Debt Schedule</t>
  </si>
  <si>
    <t>Green cells link from Assumptions; all loan terms are set there.</t>
  </si>
  <si>
    <t>Loan Terms</t>
  </si>
  <si>
    <t>Annual Debt Service (Amortizing)</t>
  </si>
  <si>
    <t>5-Year Amortization &amp; DSCR</t>
  </si>
  <si>
    <t>Beginning Balance</t>
  </si>
  <si>
    <t>Interest Payment</t>
  </si>
  <si>
    <t>Principal Payment</t>
  </si>
  <si>
    <t>Ending Balance</t>
  </si>
  <si>
    <t>Total Debt Service</t>
  </si>
  <si>
    <t>DSCR (NOI / Debt Service)</t>
  </si>
  <si>
    <t>Multi-Family Acquisition Model — Cash Flow &amp; Returns</t>
  </si>
  <si>
    <t>Green cells link from other tabs; all inputs are set in Assumptions.</t>
  </si>
  <si>
    <t>Investment Summary</t>
  </si>
  <si>
    <t>Initial Equity Investment</t>
  </si>
  <si>
    <t>Exit Valuation (End of Hold Period)</t>
  </si>
  <si>
    <t>Forward NOI (Year 6 Estimate)</t>
  </si>
  <si>
    <t>Gross Sale Price</t>
  </si>
  <si>
    <t>Selling Costs</t>
  </si>
  <si>
    <t>Net Sale Proceeds (before loan payoff)</t>
  </si>
  <si>
    <t>Loan Payoff (Ending Balance)</t>
  </si>
  <si>
    <t>Net Sale Proceeds to Equity</t>
  </si>
  <si>
    <t>Unlevered &amp; Levered Cash Flow</t>
  </si>
  <si>
    <t>NOI</t>
  </si>
  <si>
    <t>Net Sale Proceeds (Unlevered)</t>
  </si>
  <si>
    <t>Unlevered Cash Flow</t>
  </si>
  <si>
    <t>Debt Service</t>
  </si>
  <si>
    <t>Net Sale Proceeds (Levered)</t>
  </si>
  <si>
    <t>Levered Cash Flow</t>
  </si>
  <si>
    <t>Return Metrics</t>
  </si>
  <si>
    <t>Unlevered IRR</t>
  </si>
  <si>
    <t>Levered IRR</t>
  </si>
  <si>
    <t>Equity Multiple (Levered)</t>
  </si>
  <si>
    <t>Average Cash-on-Cash Return (Yrs 1-5, excl. sale)</t>
  </si>
  <si>
    <t>Year 1 Cash-on-Cash Return</t>
  </si>
  <si>
    <t>Multi-Family Acquisition Model — Sensitivity Dashboard</t>
  </si>
  <si>
    <t>Levered IRR sensitized to Exit Cap Rate and Annual Rent Growth. Base case (center) is highlighted.</t>
  </si>
  <si>
    <t>Levered IRR: Exit Cap Rate vs. Rent Growth</t>
  </si>
  <si>
    <t>Step Sizes (inputs)</t>
  </si>
  <si>
    <t>Exit Cap Rate Step</t>
  </si>
  <si>
    <t>Rent Growth Step</t>
  </si>
  <si>
    <t>Rent Growth \ Exit Cap Rate</t>
  </si>
  <si>
    <t>Helper: NOI by Rent Growth Scenario (feeds grid below — do not edit)</t>
  </si>
  <si>
    <t>Growth Rate</t>
  </si>
  <si>
    <t>NOI Yr1</t>
  </si>
  <si>
    <t>NOI Yr2</t>
  </si>
  <si>
    <t>NOI Yr3</t>
  </si>
  <si>
    <t>NOI Yr4</t>
  </si>
  <si>
    <t>NOI Yr5</t>
  </si>
  <si>
    <t>NOI Yr6 (Fwd)</t>
  </si>
  <si>
    <t>Helper: Levered Cash Flow &amp; IRR per Scenario (do not edit)</t>
  </si>
  <si>
    <t>Scenario</t>
  </si>
  <si>
    <t>CF0</t>
  </si>
  <si>
    <t>CF1</t>
  </si>
  <si>
    <t>CF2</t>
  </si>
  <si>
    <t>CF3</t>
  </si>
  <si>
    <t>CF4</t>
  </si>
  <si>
    <t>CF5</t>
  </si>
  <si>
    <t>IRR</t>
  </si>
  <si>
    <t>Growth Row 1 x Cap Col 1</t>
  </si>
  <si>
    <t>Growth Row 1 x Cap Col 2</t>
  </si>
  <si>
    <t>Growth Row 1 x Cap Col 3</t>
  </si>
  <si>
    <t>Growth Row 1 x Cap Col 4</t>
  </si>
  <si>
    <t>Growth Row 1 x Cap Col 5</t>
  </si>
  <si>
    <t>Growth Row 2 x Cap Col 1</t>
  </si>
  <si>
    <t>Growth Row 2 x Cap Col 2</t>
  </si>
  <si>
    <t>Growth Row 2 x Cap Col 3</t>
  </si>
  <si>
    <t>Growth Row 2 x Cap Col 4</t>
  </si>
  <si>
    <t>Growth Row 2 x Cap Col 5</t>
  </si>
  <si>
    <t>Growth Row 3 x Cap Col 1</t>
  </si>
  <si>
    <t>Growth Row 3 x Cap Col 2</t>
  </si>
  <si>
    <t>Growth Row 3 x Cap Col 3 (BASE CASE)</t>
  </si>
  <si>
    <t>Growth Row 3 x Cap Col 4</t>
  </si>
  <si>
    <t>Growth Row 3 x Cap Col 5</t>
  </si>
  <si>
    <t>Growth Row 4 x Cap Col 1</t>
  </si>
  <si>
    <t>Growth Row 4 x Cap Col 2</t>
  </si>
  <si>
    <t>Growth Row 4 x Cap Col 3</t>
  </si>
  <si>
    <t>Growth Row 4 x Cap Col 4</t>
  </si>
  <si>
    <t>Growth Row 4 x Cap Col 5</t>
  </si>
  <si>
    <t>Growth Row 5 x Cap Col 1</t>
  </si>
  <si>
    <t>Growth Row 5 x Cap Col 2</t>
  </si>
  <si>
    <t>Growth Row 5 x Cap Col 3</t>
  </si>
  <si>
    <t>Growth Row 5 x Cap Col 4</t>
  </si>
  <si>
    <t>Growth Row 5 x Cap Col 5</t>
  </si>
  <si>
    <t>Investment Analysis Summary &amp; Key Risks</t>
  </si>
  <si>
    <t>Deal Snapshot</t>
  </si>
  <si>
    <t>Going-In Cap Rate (Yr 1 NOI / Total Cost)</t>
  </si>
  <si>
    <t>Hold Period</t>
  </si>
  <si>
    <t>Assumed Exit Cap Rate</t>
  </si>
  <si>
    <t>Equity Multiple</t>
  </si>
  <si>
    <t>Avg. Cash-on-Cash (Yrs 1-5)</t>
  </si>
  <si>
    <t>Other Key Assumptions</t>
  </si>
  <si>
    <t>Amortization Period</t>
  </si>
  <si>
    <t>Year 1 DSCR</t>
  </si>
  <si>
    <t>Going-In Cap Rate (Purchase)</t>
  </si>
  <si>
    <t>Assumed Exit Cap Rate (Sale)</t>
  </si>
  <si>
    <t>Helper (CF0-CF5) — do not edit:</t>
  </si>
  <si>
    <t>Bottom Line</t>
  </si>
  <si>
    <t>✓ Underwriting Approach: Conservative Exit Cap Rate</t>
  </si>
  <si>
    <t>Underwriting Cushion (Exit minus Going-In)</t>
  </si>
  <si>
    <t>• The model buys at a 7.83% cap rate and underwrites the Year-5 sale at a slightly higher 8.00% cap rate — a ~17 bps cushion, not a bet on compression.</t>
  </si>
  <si>
    <t>Scenario Comparison: Exit Cap Rate Range</t>
  </si>
  <si>
    <t>Base Case (Conservative, +17 bps cushion)</t>
  </si>
  <si>
    <t>Upside (Flat, exit = going-in cap, no cushion)</t>
  </si>
  <si>
    <t>Downside (Cap rate expands another 50 bps)</t>
  </si>
  <si>
    <t>Pass — conservative underwriting, returns hold up across a realistic cap rate range</t>
  </si>
  <si>
    <t>• Base case assumes a modest 17 bps of cap rate expansion by exit (8.00% vs. 7.83% going-in) — the return does not rely on the market getting more generous.</t>
  </si>
  <si>
    <t>• Levered IRR of 17.5% clears the 15% target even under this conservative assumption, with 2.05x equity multiple over the 5-year hold.</t>
  </si>
  <si>
    <t>• Even a further 50 bps of cap rate expansion (a real downside case) only brings the IRR to ~14.7% — close to target, not a cliff — while any compression back toward today's pricing is pure upside.</t>
  </si>
  <si>
    <t>• The upside of this: the returns already work even if the market softens a bit by the time we sell.</t>
  </si>
  <si>
    <t>• If cap rates hold steady or improve instead, that's extra return on top — not something we're counting on to hit our numbers.</t>
  </si>
  <si>
    <t>• The scenario table below shows the deal still performs even under a tougher exit than we assumed.</t>
  </si>
  <si>
    <t>• Assuming the exit cap rate is flat or higher than the going-in cap is standard  practice, especially on a 5+ year hold where cap rate cycles are unpredictable.</t>
  </si>
  <si>
    <t>One-page recap of the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</si>
</sst>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"/>
    <numFmt numFmtId="165" formatCode="0.0%"/>
    <numFmt numFmtId="166" formatCode="&quot;$&quot;#,##0"/>
    <numFmt numFmtId="167" formatCode="&quot;Year &quot;0"/>
    <numFmt numFmtId="168" formatCode="&quot;$&quot;#,##0;\(&quot;$&quot;#,##0\)"/>
    <numFmt numFmtId="169" formatCode="0.00\x"/>
    <numFmt numFmtId="170" formatCode="0&quot; years&quot;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8"/>
      <color rgb="FF80808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8"/>
      <color rgb="FF808080"/>
      <name val="Arial"/>
      <family val="2"/>
    </font>
    <font>
      <sz val="10"/>
      <color theme="1"/>
      <name val="Calibri"/>
      <family val="2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rgb="FF808080"/>
      <name val="Arial"/>
      <family val="2"/>
    </font>
    <font>
      <i/>
      <sz val="9"/>
      <color rgb="FF808080"/>
      <name val="Arial"/>
      <family val="2"/>
    </font>
    <font>
      <i/>
      <sz val="9"/>
      <color rgb="FF008000"/>
      <name val="Arial"/>
      <family val="2"/>
    </font>
    <font>
      <sz val="10"/>
      <color rgb="FF008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FF"/>
      <name val="Arial"/>
      <family val="2"/>
    </font>
    <font>
      <b/>
      <sz val="11"/>
      <color rgb="FF000000"/>
      <name val="Arial"/>
      <family val="2"/>
    </font>
    <font>
      <b/>
      <sz val="10"/>
      <color rgb="FF37562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theme="6" tint="0.59999389629810485"/>
        <bgColor rgb="FFFFFF00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3" fillId="3" borderId="0" xfId="0" applyFont="1" applyFill="1"/>
    <xf numFmtId="0" fontId="0" fillId="3" borderId="0" xfId="0" applyFill="1"/>
    <xf numFmtId="0" fontId="4" fillId="0" borderId="0" xfId="0" applyFont="1"/>
    <xf numFmtId="164" fontId="6" fillId="0" borderId="1" xfId="0" applyNumberFormat="1" applyFont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1" fontId="5" fillId="4" borderId="1" xfId="0" applyNumberFormat="1" applyFont="1" applyFill="1" applyBorder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10" fontId="5" fillId="4" borderId="1" xfId="0" applyNumberFormat="1" applyFont="1" applyFill="1" applyBorder="1"/>
    <xf numFmtId="0" fontId="0" fillId="5" borderId="0" xfId="0" applyFill="1"/>
    <xf numFmtId="0" fontId="7" fillId="0" borderId="0" xfId="0" applyFont="1"/>
    <xf numFmtId="0" fontId="3" fillId="6" borderId="0" xfId="0" applyFont="1" applyFill="1"/>
    <xf numFmtId="0" fontId="0" fillId="6" borderId="0" xfId="0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3" fontId="5" fillId="7" borderId="0" xfId="0" applyNumberFormat="1" applyFont="1" applyFill="1"/>
    <xf numFmtId="166" fontId="5" fillId="7" borderId="0" xfId="0" applyNumberFormat="1" applyFont="1" applyFill="1"/>
    <xf numFmtId="166" fontId="9" fillId="0" borderId="0" xfId="0" applyNumberFormat="1" applyFont="1"/>
    <xf numFmtId="3" fontId="10" fillId="0" borderId="0" xfId="0" applyNumberFormat="1" applyFont="1"/>
    <xf numFmtId="166" fontId="10" fillId="0" borderId="0" xfId="0" applyNumberFormat="1" applyFont="1"/>
    <xf numFmtId="0" fontId="12" fillId="0" borderId="0" xfId="0" applyFont="1"/>
    <xf numFmtId="0" fontId="13" fillId="0" borderId="0" xfId="0" applyFont="1"/>
    <xf numFmtId="0" fontId="10" fillId="0" borderId="0" xfId="0" applyFont="1" applyAlignment="1">
      <alignment horizontal="center"/>
    </xf>
    <xf numFmtId="167" fontId="10" fillId="0" borderId="0" xfId="0" applyNumberFormat="1" applyFont="1" applyAlignment="1">
      <alignment horizontal="center"/>
    </xf>
    <xf numFmtId="168" fontId="9" fillId="0" borderId="0" xfId="0" applyNumberFormat="1" applyFont="1"/>
    <xf numFmtId="0" fontId="10" fillId="8" borderId="0" xfId="0" applyFont="1" applyFill="1"/>
    <xf numFmtId="166" fontId="10" fillId="8" borderId="0" xfId="0" applyNumberFormat="1" applyFont="1" applyFill="1"/>
    <xf numFmtId="0" fontId="14" fillId="0" borderId="0" xfId="0" applyFont="1"/>
    <xf numFmtId="166" fontId="14" fillId="0" borderId="0" xfId="0" applyNumberFormat="1" applyFont="1"/>
    <xf numFmtId="10" fontId="14" fillId="0" borderId="0" xfId="0" applyNumberFormat="1" applyFont="1"/>
    <xf numFmtId="1" fontId="14" fillId="0" borderId="0" xfId="0" applyNumberFormat="1" applyFont="1"/>
    <xf numFmtId="169" fontId="10" fillId="8" borderId="0" xfId="0" applyNumberFormat="1" applyFont="1" applyFill="1"/>
    <xf numFmtId="168" fontId="10" fillId="0" borderId="0" xfId="0" applyNumberFormat="1" applyFont="1"/>
    <xf numFmtId="168" fontId="14" fillId="0" borderId="0" xfId="0" applyNumberFormat="1" applyFont="1"/>
    <xf numFmtId="168" fontId="10" fillId="8" borderId="0" xfId="0" applyNumberFormat="1" applyFont="1" applyFill="1"/>
    <xf numFmtId="165" fontId="9" fillId="0" borderId="0" xfId="0" applyNumberFormat="1" applyFont="1"/>
    <xf numFmtId="165" fontId="10" fillId="8" borderId="0" xfId="0" applyNumberFormat="1" applyFont="1" applyFill="1"/>
    <xf numFmtId="165" fontId="14" fillId="0" borderId="0" xfId="0" applyNumberFormat="1" applyFont="1"/>
    <xf numFmtId="0" fontId="15" fillId="0" borderId="0" xfId="0" applyFont="1"/>
    <xf numFmtId="0" fontId="16" fillId="0" borderId="0" xfId="0" applyFont="1"/>
    <xf numFmtId="10" fontId="17" fillId="7" borderId="0" xfId="0" applyNumberFormat="1" applyFont="1" applyFill="1"/>
    <xf numFmtId="10" fontId="10" fillId="0" borderId="0" xfId="0" applyNumberFormat="1" applyFont="1"/>
    <xf numFmtId="165" fontId="15" fillId="0" borderId="0" xfId="0" applyNumberFormat="1" applyFont="1"/>
    <xf numFmtId="166" fontId="15" fillId="0" borderId="0" xfId="0" applyNumberFormat="1" applyFont="1"/>
    <xf numFmtId="165" fontId="9" fillId="0" borderId="0" xfId="0" applyNumberFormat="1" applyFont="1" applyAlignment="1">
      <alignment horizontal="center"/>
    </xf>
    <xf numFmtId="0" fontId="16" fillId="0" borderId="1" xfId="0" applyFont="1" applyBorder="1" applyAlignment="1">
      <alignment horizontal="center"/>
    </xf>
    <xf numFmtId="10" fontId="10" fillId="0" borderId="1" xfId="0" applyNumberFormat="1" applyFont="1" applyBorder="1" applyAlignment="1">
      <alignment horizontal="center"/>
    </xf>
    <xf numFmtId="10" fontId="10" fillId="9" borderId="1" xfId="0" applyNumberFormat="1" applyFont="1" applyFill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10" fillId="9" borderId="1" xfId="0" applyNumberFormat="1" applyFont="1" applyFill="1" applyBorder="1" applyAlignment="1">
      <alignment horizontal="center"/>
    </xf>
    <xf numFmtId="0" fontId="1" fillId="5" borderId="0" xfId="0" applyFont="1" applyFill="1"/>
    <xf numFmtId="3" fontId="14" fillId="0" borderId="0" xfId="0" applyNumberFormat="1" applyFont="1"/>
    <xf numFmtId="10" fontId="10" fillId="8" borderId="0" xfId="0" applyNumberFormat="1" applyFont="1" applyFill="1"/>
    <xf numFmtId="170" fontId="14" fillId="0" borderId="0" xfId="0" applyNumberFormat="1" applyFont="1"/>
    <xf numFmtId="10" fontId="9" fillId="0" borderId="0" xfId="0" applyNumberFormat="1" applyFont="1" applyAlignment="1">
      <alignment horizontal="center"/>
    </xf>
    <xf numFmtId="169" fontId="9" fillId="0" borderId="0" xfId="0" applyNumberFormat="1" applyFont="1" applyAlignment="1">
      <alignment horizontal="center"/>
    </xf>
    <xf numFmtId="0" fontId="10" fillId="10" borderId="0" xfId="0" applyFont="1" applyFill="1"/>
    <xf numFmtId="10" fontId="10" fillId="10" borderId="0" xfId="0" applyNumberFormat="1" applyFont="1" applyFill="1" applyAlignment="1">
      <alignment horizontal="center"/>
    </xf>
    <xf numFmtId="165" fontId="10" fillId="10" borderId="0" xfId="0" applyNumberFormat="1" applyFont="1" applyFill="1" applyAlignment="1">
      <alignment horizontal="center"/>
    </xf>
    <xf numFmtId="169" fontId="10" fillId="10" borderId="0" xfId="0" applyNumberFormat="1" applyFont="1" applyFill="1" applyAlignment="1">
      <alignment horizontal="center"/>
    </xf>
    <xf numFmtId="166" fontId="11" fillId="0" borderId="0" xfId="0" applyNumberFormat="1" applyFont="1"/>
    <xf numFmtId="10" fontId="5" fillId="7" borderId="1" xfId="0" applyNumberFormat="1" applyFont="1" applyFill="1" applyBorder="1"/>
    <xf numFmtId="0" fontId="3" fillId="11" borderId="0" xfId="0" applyFont="1" applyFill="1"/>
    <xf numFmtId="0" fontId="0" fillId="11" borderId="0" xfId="0" applyFill="1"/>
    <xf numFmtId="0" fontId="10" fillId="12" borderId="0" xfId="0" applyFont="1" applyFill="1"/>
    <xf numFmtId="10" fontId="19" fillId="12" borderId="0" xfId="0" applyNumberFormat="1" applyFont="1" applyFill="1"/>
    <xf numFmtId="0" fontId="18" fillId="13" borderId="0" xfId="0" applyFont="1" applyFill="1"/>
    <xf numFmtId="0" fontId="0" fillId="13" borderId="0" xfId="0" applyFill="1"/>
    <xf numFmtId="0" fontId="1" fillId="5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4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DE480B-C19F-4B75-932A-BB348C78BF6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7c600394-fe03-4d82-b580-0266745d858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93AE-6469-41E8-9EF0-75DE43CDA96B}">
  <dimension ref="A1:P51"/>
  <sheetViews>
    <sheetView workbookViewId="0">
      <selection activeCell="J21" sqref="J21"/>
    </sheetView>
  </sheetViews>
  <sheetFormatPr defaultRowHeight="15" outlineLevelCol="1" x14ac:dyDescent="0.25"/>
  <cols>
    <col min="1" max="1" width="80" customWidth="1"/>
    <col min="2" max="2" width="17.140625" customWidth="1"/>
    <col min="3" max="3" width="19" customWidth="1"/>
    <col min="4" max="4" width="41.85546875" customWidth="1"/>
    <col min="5" max="5" width="19" customWidth="1"/>
    <col min="6" max="6" width="7.5703125" customWidth="1"/>
    <col min="8" max="8" width="9.140625" outlineLevel="1"/>
    <col min="9" max="9" width="10.42578125" bestFit="1" customWidth="1" outlineLevel="1"/>
    <col min="10" max="10" width="9.140625" outlineLevel="1"/>
    <col min="11" max="11" width="10.42578125" bestFit="1" customWidth="1" outlineLevel="1"/>
    <col min="12" max="13" width="9.140625" outlineLevel="1"/>
    <col min="14" max="14" width="10.42578125" bestFit="1" customWidth="1" outlineLevel="1"/>
    <col min="16" max="16" width="9.85546875" bestFit="1" customWidth="1"/>
  </cols>
  <sheetData>
    <row r="1" spans="1:6" ht="20.25" x14ac:dyDescent="0.3">
      <c r="A1" s="55" t="s">
        <v>188</v>
      </c>
      <c r="B1" s="12"/>
      <c r="C1" s="12"/>
      <c r="D1" s="12"/>
      <c r="E1" s="12"/>
      <c r="F1" s="12"/>
    </row>
    <row r="2" spans="1:6" x14ac:dyDescent="0.25">
      <c r="A2" s="1" t="s">
        <v>217</v>
      </c>
    </row>
    <row r="3" spans="1:6" ht="6.75" customHeight="1" x14ac:dyDescent="0.25"/>
    <row r="4" spans="1:6" x14ac:dyDescent="0.25">
      <c r="A4" s="14" t="s">
        <v>189</v>
      </c>
      <c r="B4" s="15"/>
      <c r="C4" s="15"/>
      <c r="D4" s="14" t="s">
        <v>195</v>
      </c>
      <c r="E4" s="15"/>
    </row>
    <row r="5" spans="1:6" x14ac:dyDescent="0.25">
      <c r="A5" s="17" t="s">
        <v>33</v>
      </c>
      <c r="B5" s="56">
        <f>Assumptions!$B$7</f>
        <v>40</v>
      </c>
      <c r="D5" s="17" t="s">
        <v>15</v>
      </c>
      <c r="E5" s="41">
        <f>Assumptions!$B$17</f>
        <v>0.03</v>
      </c>
    </row>
    <row r="6" spans="1:6" x14ac:dyDescent="0.25">
      <c r="A6" s="17" t="s">
        <v>9</v>
      </c>
      <c r="B6" s="32">
        <f>Assumptions!$B$10</f>
        <v>6000000</v>
      </c>
      <c r="D6" s="17" t="s">
        <v>16</v>
      </c>
      <c r="E6" s="41">
        <f>Assumptions!$B$18</f>
        <v>2.5000000000000001E-2</v>
      </c>
    </row>
    <row r="7" spans="1:6" x14ac:dyDescent="0.25">
      <c r="A7" s="17" t="s">
        <v>12</v>
      </c>
      <c r="B7" s="32">
        <f>Assumptions!$B$13</f>
        <v>6220000</v>
      </c>
      <c r="D7" s="17" t="s">
        <v>14</v>
      </c>
      <c r="E7" s="41">
        <f>Assumptions!$B$16</f>
        <v>0.05</v>
      </c>
    </row>
    <row r="8" spans="1:6" x14ac:dyDescent="0.25">
      <c r="A8" s="29" t="s">
        <v>190</v>
      </c>
      <c r="B8" s="57">
        <f>'Operating Expenses'!$B$21/B7</f>
        <v>7.8337234726688104E-2</v>
      </c>
      <c r="D8" s="17" t="s">
        <v>21</v>
      </c>
      <c r="E8" s="41">
        <f>Assumptions!$B$24</f>
        <v>0.7</v>
      </c>
    </row>
    <row r="9" spans="1:6" x14ac:dyDescent="0.25">
      <c r="A9" s="17" t="s">
        <v>191</v>
      </c>
      <c r="B9" s="58">
        <f>Assumptions!$B$32</f>
        <v>5</v>
      </c>
      <c r="D9" s="17" t="s">
        <v>50</v>
      </c>
      <c r="E9" s="33">
        <f>Assumptions!$B$26</f>
        <v>6.5000000000000002E-2</v>
      </c>
    </row>
    <row r="10" spans="1:6" x14ac:dyDescent="0.25">
      <c r="A10" s="29" t="s">
        <v>192</v>
      </c>
      <c r="B10" s="57">
        <f>Assumptions!$B$33</f>
        <v>0.08</v>
      </c>
      <c r="D10" s="17" t="s">
        <v>196</v>
      </c>
      <c r="E10" s="58">
        <f>Assumptions!$B$27</f>
        <v>30</v>
      </c>
    </row>
    <row r="11" spans="1:6" x14ac:dyDescent="0.25">
      <c r="A11" s="17" t="s">
        <v>118</v>
      </c>
      <c r="B11" s="32">
        <f>'Cash Flow &amp; Returns'!$B$7</f>
        <v>1866000</v>
      </c>
      <c r="D11" s="17" t="s">
        <v>100</v>
      </c>
      <c r="E11" s="41">
        <f>Assumptions!$B$20</f>
        <v>0.04</v>
      </c>
    </row>
    <row r="12" spans="1:6" x14ac:dyDescent="0.25">
      <c r="A12" s="29" t="s">
        <v>135</v>
      </c>
      <c r="B12" s="40">
        <f>'Cash Flow &amp; Returns'!$B$31</f>
        <v>0.17490657409005439</v>
      </c>
      <c r="D12" s="29" t="s">
        <v>197</v>
      </c>
      <c r="E12" s="35">
        <f>'Debt Schedule'!$B$20</f>
        <v>1.4614007995261344</v>
      </c>
    </row>
    <row r="13" spans="1:6" x14ac:dyDescent="0.25">
      <c r="A13" s="29" t="s">
        <v>193</v>
      </c>
      <c r="B13" s="35">
        <f>'Cash Flow &amp; Returns'!$B$33</f>
        <v>2.0510668821430715</v>
      </c>
    </row>
    <row r="14" spans="1:6" x14ac:dyDescent="0.25">
      <c r="A14" s="29" t="s">
        <v>194</v>
      </c>
      <c r="B14" s="41">
        <f>'Cash Flow &amp; Returns'!$B$34</f>
        <v>9.9538851084263913E-2</v>
      </c>
    </row>
    <row r="15" spans="1:6" ht="6.75" customHeight="1" x14ac:dyDescent="0.25"/>
    <row r="16" spans="1:6" x14ac:dyDescent="0.25">
      <c r="A16" s="67" t="s">
        <v>202</v>
      </c>
      <c r="B16" s="68"/>
      <c r="C16" s="68"/>
      <c r="D16" s="68"/>
      <c r="E16" s="68"/>
      <c r="F16" s="68"/>
    </row>
    <row r="17" spans="1:6" x14ac:dyDescent="0.25">
      <c r="A17" s="29" t="s">
        <v>198</v>
      </c>
      <c r="C17" s="45">
        <f>$B$8</f>
        <v>7.8337234726688104E-2</v>
      </c>
    </row>
    <row r="18" spans="1:6" x14ac:dyDescent="0.25">
      <c r="A18" s="29" t="s">
        <v>199</v>
      </c>
      <c r="C18" s="45">
        <f>$B$10</f>
        <v>0.08</v>
      </c>
    </row>
    <row r="19" spans="1:6" x14ac:dyDescent="0.25">
      <c r="A19" s="69" t="s">
        <v>203</v>
      </c>
      <c r="C19" s="70">
        <f>C18-C17</f>
        <v>1.6627652733118975E-3</v>
      </c>
    </row>
    <row r="20" spans="1:6" ht="9" customHeight="1" x14ac:dyDescent="0.25"/>
    <row r="21" spans="1:6" x14ac:dyDescent="0.25">
      <c r="A21" s="17" t="s">
        <v>204</v>
      </c>
    </row>
    <row r="22" spans="1:6" x14ac:dyDescent="0.25">
      <c r="A22" s="17" t="s">
        <v>216</v>
      </c>
    </row>
    <row r="23" spans="1:6" x14ac:dyDescent="0.25">
      <c r="A23" s="17" t="s">
        <v>213</v>
      </c>
    </row>
    <row r="24" spans="1:6" x14ac:dyDescent="0.25">
      <c r="A24" s="17" t="s">
        <v>214</v>
      </c>
    </row>
    <row r="25" spans="1:6" x14ac:dyDescent="0.25">
      <c r="A25" s="17" t="s">
        <v>215</v>
      </c>
    </row>
    <row r="26" spans="1:6" ht="8.25" customHeight="1" x14ac:dyDescent="0.25"/>
    <row r="27" spans="1:6" x14ac:dyDescent="0.25">
      <c r="A27" s="14" t="s">
        <v>205</v>
      </c>
      <c r="B27" s="15"/>
      <c r="C27" s="15"/>
      <c r="D27" s="15"/>
      <c r="E27" s="15"/>
    </row>
    <row r="28" spans="1:6" x14ac:dyDescent="0.25">
      <c r="A28" s="18" t="s">
        <v>155</v>
      </c>
      <c r="C28" s="26" t="s">
        <v>60</v>
      </c>
      <c r="D28" s="26" t="s">
        <v>135</v>
      </c>
      <c r="E28" s="26" t="s">
        <v>193</v>
      </c>
    </row>
    <row r="29" spans="1:6" x14ac:dyDescent="0.25">
      <c r="A29" s="61" t="s">
        <v>206</v>
      </c>
      <c r="C29" s="62">
        <f>$B$10</f>
        <v>0.08</v>
      </c>
      <c r="D29" s="63">
        <f>'Cash Flow &amp; Returns'!$B$31</f>
        <v>0.17490657409005439</v>
      </c>
      <c r="E29" s="64">
        <f>'Cash Flow &amp; Returns'!$B$33</f>
        <v>2.0510668821430715</v>
      </c>
    </row>
    <row r="30" spans="1:6" x14ac:dyDescent="0.25">
      <c r="A30" s="61" t="s">
        <v>207</v>
      </c>
      <c r="C30" s="62">
        <f>$B$8</f>
        <v>7.8337234726688104E-2</v>
      </c>
      <c r="D30" s="63">
        <f>IRR(K50:P50)</f>
        <v>0.1843176993491511</v>
      </c>
      <c r="E30" s="64">
        <f>SUM(L50:P50)/'Cash Flow &amp; Returns'!$B$7</f>
        <v>2.1303003754823422</v>
      </c>
    </row>
    <row r="31" spans="1:6" x14ac:dyDescent="0.25">
      <c r="A31" s="17" t="s">
        <v>208</v>
      </c>
      <c r="C31" s="59">
        <f>$B$10+0.005</f>
        <v>8.5000000000000006E-2</v>
      </c>
      <c r="D31" s="48">
        <f>IRR(K51:P51)</f>
        <v>0.14698356662986334</v>
      </c>
      <c r="E31" s="60">
        <f>SUM(L51:P51)/'Cash Flow &amp; Returns'!$B$7</f>
        <v>1.8314846609035504</v>
      </c>
    </row>
    <row r="32" spans="1:6" x14ac:dyDescent="0.25">
      <c r="A32" s="14" t="s">
        <v>201</v>
      </c>
      <c r="B32" s="15"/>
      <c r="C32" s="15"/>
      <c r="D32" s="15"/>
      <c r="E32" s="15"/>
      <c r="F32" s="15"/>
    </row>
    <row r="33" spans="1:6" x14ac:dyDescent="0.25">
      <c r="A33" s="71" t="s">
        <v>209</v>
      </c>
      <c r="B33" s="72"/>
      <c r="C33" s="72"/>
      <c r="D33" s="72"/>
      <c r="E33" s="72"/>
      <c r="F33" s="72"/>
    </row>
    <row r="34" spans="1:6" x14ac:dyDescent="0.25">
      <c r="A34" s="17" t="s">
        <v>210</v>
      </c>
    </row>
    <row r="35" spans="1:6" x14ac:dyDescent="0.25">
      <c r="A35" s="17" t="s">
        <v>211</v>
      </c>
    </row>
    <row r="36" spans="1:6" x14ac:dyDescent="0.25">
      <c r="A36" s="17" t="s">
        <v>212</v>
      </c>
    </row>
    <row r="49" spans="10:16" x14ac:dyDescent="0.25">
      <c r="J49" s="1" t="s">
        <v>200</v>
      </c>
    </row>
    <row r="50" spans="10:16" x14ac:dyDescent="0.25">
      <c r="K50" s="65">
        <f>'Cash Flow &amp; Returns'!$B$27</f>
        <v>-1866000</v>
      </c>
      <c r="L50" s="65">
        <f>'Cash Flow &amp; Returns'!$C$27</f>
        <v>153839.41646130523</v>
      </c>
      <c r="M50" s="65">
        <f>'Cash Flow &amp; Returns'!$D$27</f>
        <v>169297.14446130529</v>
      </c>
      <c r="N50" s="65">
        <f>'Cash Flow &amp; Returns'!$E$27</f>
        <v>185239.60430130525</v>
      </c>
      <c r="O50" s="65">
        <f>'Cash Flow &amp; Returns'!$F$27</f>
        <v>201681.86293650523</v>
      </c>
      <c r="P50" s="65">
        <f>'Operating Expenses'!$F$21-'Debt Schedule'!$F$18+(Sensitivity!$O$12/$C$30*(1-Assumptions!$B$34)-'Debt Schedule'!$F$17)</f>
        <v>3265082.4724896289</v>
      </c>
    </row>
    <row r="51" spans="10:16" x14ac:dyDescent="0.25">
      <c r="K51" s="65">
        <f>'Cash Flow &amp; Returns'!$B$27</f>
        <v>-1866000</v>
      </c>
      <c r="L51" s="65">
        <f>'Cash Flow &amp; Returns'!$C$27</f>
        <v>153839.41646130523</v>
      </c>
      <c r="M51" s="65">
        <f>'Cash Flow &amp; Returns'!$D$27</f>
        <v>169297.14446130529</v>
      </c>
      <c r="N51" s="65">
        <f>'Cash Flow &amp; Returns'!$E$27</f>
        <v>185239.60430130525</v>
      </c>
      <c r="O51" s="65">
        <f>'Cash Flow &amp; Returns'!$F$27</f>
        <v>201681.86293650523</v>
      </c>
      <c r="P51" s="65">
        <f>'Operating Expenses'!$F$21-'Debt Schedule'!$F$18+(Sensitivity!$O$12/$C$31*(1-Assumptions!$B$34)-'Debt Schedule'!$F$17)</f>
        <v>2707492.3490856038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showGridLines="0" topLeftCell="A3" zoomScaleNormal="100" workbookViewId="0">
      <selection activeCell="B33" sqref="B33"/>
    </sheetView>
  </sheetViews>
  <sheetFormatPr defaultColWidth="8.7109375" defaultRowHeight="15" x14ac:dyDescent="0.25"/>
  <cols>
    <col min="1" max="1" width="30" customWidth="1"/>
    <col min="2" max="2" width="25.5703125" bestFit="1" customWidth="1"/>
    <col min="3" max="3" width="4" customWidth="1"/>
    <col min="4" max="4" width="30" customWidth="1"/>
    <col min="5" max="5" width="18" customWidth="1"/>
  </cols>
  <sheetData>
    <row r="1" spans="1:5" ht="27.75" customHeight="1" x14ac:dyDescent="0.25">
      <c r="A1" s="74" t="s">
        <v>0</v>
      </c>
      <c r="B1" s="74"/>
      <c r="C1" s="74"/>
      <c r="D1" s="74"/>
      <c r="E1" s="74"/>
    </row>
    <row r="2" spans="1:5" x14ac:dyDescent="0.25">
      <c r="A2" s="75" t="s">
        <v>84</v>
      </c>
      <c r="B2" s="75"/>
      <c r="C2" s="75"/>
      <c r="D2" s="75"/>
      <c r="E2" s="75"/>
    </row>
    <row r="4" spans="1:5" ht="18" customHeight="1" x14ac:dyDescent="0.25">
      <c r="A4" s="2" t="s">
        <v>1</v>
      </c>
      <c r="B4" s="3"/>
      <c r="D4" s="1" t="s">
        <v>33</v>
      </c>
      <c r="E4" s="1" t="s">
        <v>34</v>
      </c>
    </row>
    <row r="5" spans="1:5" x14ac:dyDescent="0.25">
      <c r="A5" s="4" t="s">
        <v>2</v>
      </c>
      <c r="B5" s="6" t="s">
        <v>3</v>
      </c>
      <c r="D5" s="1" t="s">
        <v>9</v>
      </c>
      <c r="E5" s="1" t="s">
        <v>35</v>
      </c>
    </row>
    <row r="6" spans="1:5" x14ac:dyDescent="0.25">
      <c r="A6" s="4" t="s">
        <v>4</v>
      </c>
      <c r="B6" s="6" t="s">
        <v>5</v>
      </c>
      <c r="D6" s="1" t="s">
        <v>12</v>
      </c>
      <c r="E6" s="1" t="s">
        <v>36</v>
      </c>
    </row>
    <row r="7" spans="1:5" x14ac:dyDescent="0.25">
      <c r="A7" s="4" t="s">
        <v>6</v>
      </c>
      <c r="B7" s="7">
        <v>40</v>
      </c>
      <c r="D7" s="1" t="s">
        <v>37</v>
      </c>
      <c r="E7" s="1" t="s">
        <v>38</v>
      </c>
    </row>
    <row r="8" spans="1:5" x14ac:dyDescent="0.25">
      <c r="A8" s="4" t="s">
        <v>7</v>
      </c>
      <c r="B8" s="8">
        <v>1998</v>
      </c>
      <c r="D8" s="1" t="s">
        <v>39</v>
      </c>
      <c r="E8" s="1" t="s">
        <v>40</v>
      </c>
    </row>
    <row r="9" spans="1:5" x14ac:dyDescent="0.25">
      <c r="A9" s="4" t="s">
        <v>8</v>
      </c>
      <c r="B9" s="7">
        <v>34000</v>
      </c>
      <c r="D9" s="1" t="s">
        <v>41</v>
      </c>
      <c r="E9" s="1" t="s">
        <v>42</v>
      </c>
    </row>
    <row r="10" spans="1:5" x14ac:dyDescent="0.25">
      <c r="A10" s="4" t="s">
        <v>9</v>
      </c>
      <c r="B10" s="9">
        <v>6000000</v>
      </c>
      <c r="D10" s="1" t="s">
        <v>43</v>
      </c>
      <c r="E10" s="1" t="s">
        <v>44</v>
      </c>
    </row>
    <row r="11" spans="1:5" x14ac:dyDescent="0.25">
      <c r="A11" s="4" t="s">
        <v>10</v>
      </c>
      <c r="B11" s="10">
        <v>0.02</v>
      </c>
      <c r="D11" s="1" t="s">
        <v>45</v>
      </c>
      <c r="E11" s="1" t="s">
        <v>46</v>
      </c>
    </row>
    <row r="12" spans="1:5" x14ac:dyDescent="0.25">
      <c r="A12" s="4" t="s">
        <v>11</v>
      </c>
      <c r="B12" s="9">
        <v>2500</v>
      </c>
      <c r="D12" s="1" t="s">
        <v>47</v>
      </c>
      <c r="E12" s="1" t="s">
        <v>48</v>
      </c>
    </row>
    <row r="13" spans="1:5" x14ac:dyDescent="0.25">
      <c r="A13" s="4" t="s">
        <v>12</v>
      </c>
      <c r="B13" s="5">
        <f>B10*(1+B11)+B12*B7</f>
        <v>6220000</v>
      </c>
      <c r="D13" s="1" t="s">
        <v>22</v>
      </c>
      <c r="E13" s="1" t="s">
        <v>49</v>
      </c>
    </row>
    <row r="14" spans="1:5" x14ac:dyDescent="0.25">
      <c r="D14" s="1" t="s">
        <v>50</v>
      </c>
      <c r="E14" s="1" t="s">
        <v>51</v>
      </c>
    </row>
    <row r="15" spans="1:5" ht="18" customHeight="1" x14ac:dyDescent="0.25">
      <c r="A15" s="2" t="s">
        <v>13</v>
      </c>
      <c r="B15" s="3"/>
      <c r="D15" s="1" t="s">
        <v>52</v>
      </c>
      <c r="E15" s="1" t="s">
        <v>53</v>
      </c>
    </row>
    <row r="16" spans="1:5" x14ac:dyDescent="0.25">
      <c r="A16" s="4" t="s">
        <v>14</v>
      </c>
      <c r="B16" s="10">
        <v>0.05</v>
      </c>
      <c r="D16" s="1" t="s">
        <v>54</v>
      </c>
      <c r="E16" s="1" t="s">
        <v>55</v>
      </c>
    </row>
    <row r="17" spans="1:5" x14ac:dyDescent="0.25">
      <c r="A17" s="4" t="s">
        <v>15</v>
      </c>
      <c r="B17" s="10">
        <v>0.03</v>
      </c>
      <c r="D17" s="1" t="s">
        <v>56</v>
      </c>
      <c r="E17" s="1" t="s">
        <v>57</v>
      </c>
    </row>
    <row r="18" spans="1:5" x14ac:dyDescent="0.25">
      <c r="A18" s="4" t="s">
        <v>16</v>
      </c>
      <c r="B18" s="10">
        <v>2.5000000000000001E-2</v>
      </c>
      <c r="D18" s="1" t="s">
        <v>58</v>
      </c>
      <c r="E18" s="1" t="s">
        <v>59</v>
      </c>
    </row>
    <row r="19" spans="1:5" x14ac:dyDescent="0.25">
      <c r="A19" s="4" t="s">
        <v>17</v>
      </c>
      <c r="B19" s="9">
        <v>35</v>
      </c>
      <c r="D19" s="1" t="s">
        <v>60</v>
      </c>
      <c r="E19" s="1" t="s">
        <v>61</v>
      </c>
    </row>
    <row r="20" spans="1:5" x14ac:dyDescent="0.25">
      <c r="A20" s="4" t="s">
        <v>18</v>
      </c>
      <c r="B20" s="10">
        <v>0.04</v>
      </c>
      <c r="D20" s="1" t="s">
        <v>62</v>
      </c>
      <c r="E20" s="1" t="s">
        <v>63</v>
      </c>
    </row>
    <row r="21" spans="1:5" x14ac:dyDescent="0.25">
      <c r="A21" s="4" t="s">
        <v>19</v>
      </c>
      <c r="B21" s="9">
        <v>300</v>
      </c>
    </row>
    <row r="23" spans="1:5" ht="18" customHeight="1" x14ac:dyDescent="0.25">
      <c r="A23" s="2" t="s">
        <v>20</v>
      </c>
      <c r="B23" s="3"/>
    </row>
    <row r="24" spans="1:5" x14ac:dyDescent="0.25">
      <c r="A24" s="4" t="s">
        <v>21</v>
      </c>
      <c r="B24" s="10">
        <v>0.7</v>
      </c>
    </row>
    <row r="25" spans="1:5" x14ac:dyDescent="0.25">
      <c r="A25" s="4" t="s">
        <v>22</v>
      </c>
      <c r="B25" s="5">
        <f>B13*B24</f>
        <v>4354000</v>
      </c>
    </row>
    <row r="26" spans="1:5" x14ac:dyDescent="0.25">
      <c r="A26" s="4" t="s">
        <v>23</v>
      </c>
      <c r="B26" s="11">
        <v>6.5000000000000002E-2</v>
      </c>
    </row>
    <row r="27" spans="1:5" x14ac:dyDescent="0.25">
      <c r="A27" s="4" t="s">
        <v>24</v>
      </c>
      <c r="B27" s="8">
        <v>30</v>
      </c>
    </row>
    <row r="28" spans="1:5" x14ac:dyDescent="0.25">
      <c r="A28" s="4" t="s">
        <v>25</v>
      </c>
      <c r="B28" s="8">
        <v>10</v>
      </c>
    </row>
    <row r="29" spans="1:5" x14ac:dyDescent="0.25">
      <c r="A29" s="4" t="s">
        <v>26</v>
      </c>
      <c r="B29" s="8">
        <v>0</v>
      </c>
    </row>
    <row r="31" spans="1:5" ht="18" customHeight="1" x14ac:dyDescent="0.25">
      <c r="A31" s="2" t="s">
        <v>27</v>
      </c>
      <c r="B31" s="3"/>
    </row>
    <row r="32" spans="1:5" x14ac:dyDescent="0.25">
      <c r="A32" s="4" t="s">
        <v>28</v>
      </c>
      <c r="B32" s="8">
        <v>5</v>
      </c>
    </row>
    <row r="33" spans="1:2" x14ac:dyDescent="0.25">
      <c r="A33" s="4" t="s">
        <v>29</v>
      </c>
      <c r="B33" s="66">
        <v>0.08</v>
      </c>
    </row>
    <row r="34" spans="1:2" x14ac:dyDescent="0.25">
      <c r="A34" s="4" t="s">
        <v>30</v>
      </c>
      <c r="B34" s="10">
        <v>0.02</v>
      </c>
    </row>
    <row r="35" spans="1:2" x14ac:dyDescent="0.25">
      <c r="A35" s="4" t="s">
        <v>31</v>
      </c>
      <c r="B35" s="10">
        <v>0.15</v>
      </c>
    </row>
    <row r="37" spans="1:2" ht="18" customHeight="1" x14ac:dyDescent="0.25">
      <c r="A37" s="2" t="s">
        <v>32</v>
      </c>
      <c r="B37" s="3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zoomScaleNormal="100" workbookViewId="0">
      <selection activeCell="D29" sqref="D29"/>
    </sheetView>
  </sheetViews>
  <sheetFormatPr defaultColWidth="8.7109375" defaultRowHeight="15" x14ac:dyDescent="0.25"/>
  <cols>
    <col min="1" max="1" width="60" customWidth="1"/>
  </cols>
  <sheetData>
    <row r="1" spans="1:6" ht="27.75" customHeight="1" x14ac:dyDescent="0.25">
      <c r="A1" s="73" t="s">
        <v>64</v>
      </c>
      <c r="B1" s="73"/>
      <c r="C1" s="73"/>
      <c r="D1" s="73"/>
      <c r="E1" s="12"/>
      <c r="F1" s="12"/>
    </row>
    <row r="2" spans="1:6" x14ac:dyDescent="0.25">
      <c r="A2" s="1" t="s">
        <v>65</v>
      </c>
    </row>
    <row r="3" spans="1:6" x14ac:dyDescent="0.25">
      <c r="A3" s="1"/>
    </row>
    <row r="4" spans="1:6" x14ac:dyDescent="0.25">
      <c r="A4" s="14" t="s">
        <v>66</v>
      </c>
      <c r="B4" s="15"/>
      <c r="C4" s="15"/>
      <c r="D4" s="15"/>
      <c r="E4" s="15"/>
      <c r="F4" s="15"/>
    </row>
    <row r="5" spans="1:6" x14ac:dyDescent="0.25">
      <c r="A5" s="18" t="s">
        <v>67</v>
      </c>
      <c r="B5" s="18" t="s">
        <v>68</v>
      </c>
      <c r="C5" s="18" t="s">
        <v>69</v>
      </c>
      <c r="D5" s="18" t="s">
        <v>70</v>
      </c>
      <c r="E5" s="18" t="s">
        <v>71</v>
      </c>
      <c r="F5" s="18" t="s">
        <v>72</v>
      </c>
    </row>
    <row r="6" spans="1:6" x14ac:dyDescent="0.25">
      <c r="A6" s="17" t="s">
        <v>73</v>
      </c>
      <c r="B6" s="19">
        <v>8</v>
      </c>
      <c r="C6" s="19">
        <v>550</v>
      </c>
      <c r="D6" s="20">
        <v>1150</v>
      </c>
      <c r="E6" s="21">
        <f>B6*D6</f>
        <v>9200</v>
      </c>
      <c r="F6" s="21">
        <f>E6*12</f>
        <v>110400</v>
      </c>
    </row>
    <row r="7" spans="1:6" x14ac:dyDescent="0.25">
      <c r="A7" s="17" t="s">
        <v>74</v>
      </c>
      <c r="B7" s="19">
        <v>16</v>
      </c>
      <c r="C7" s="19">
        <v>725</v>
      </c>
      <c r="D7" s="20">
        <v>1350</v>
      </c>
      <c r="E7" s="21">
        <f>B7*D7</f>
        <v>21600</v>
      </c>
      <c r="F7" s="21">
        <f>E7*12</f>
        <v>259200</v>
      </c>
    </row>
    <row r="8" spans="1:6" x14ac:dyDescent="0.25">
      <c r="A8" s="17" t="s">
        <v>75</v>
      </c>
      <c r="B8" s="19">
        <v>12</v>
      </c>
      <c r="C8" s="19">
        <v>975</v>
      </c>
      <c r="D8" s="20">
        <v>1650</v>
      </c>
      <c r="E8" s="21">
        <f>B8*D8</f>
        <v>19800</v>
      </c>
      <c r="F8" s="21">
        <f>E8*12</f>
        <v>237600</v>
      </c>
    </row>
    <row r="9" spans="1:6" x14ac:dyDescent="0.25">
      <c r="A9" s="17" t="s">
        <v>76</v>
      </c>
      <c r="B9" s="19">
        <v>4</v>
      </c>
      <c r="C9" s="19">
        <v>1200</v>
      </c>
      <c r="D9" s="20">
        <v>1950</v>
      </c>
      <c r="E9" s="21">
        <f>B9*D9</f>
        <v>7800</v>
      </c>
      <c r="F9" s="21">
        <f>E9*12</f>
        <v>93600</v>
      </c>
    </row>
    <row r="10" spans="1:6" x14ac:dyDescent="0.25">
      <c r="A10" s="18" t="s">
        <v>77</v>
      </c>
      <c r="B10" s="22">
        <f>SUM(B6:B9)</f>
        <v>40</v>
      </c>
      <c r="C10" s="22">
        <f>SUMPRODUCT(B6:B9,C6:C9)/B10</f>
        <v>812.5</v>
      </c>
      <c r="D10" s="23">
        <f>SUMPRODUCT(B6:B9,D6:D9)/B10</f>
        <v>1460</v>
      </c>
      <c r="E10" s="23">
        <f>SUM(E6:E9)</f>
        <v>58400</v>
      </c>
      <c r="F10" s="23">
        <f>SUM(F6:F9)</f>
        <v>700800</v>
      </c>
    </row>
    <row r="11" spans="1:6" x14ac:dyDescent="0.25">
      <c r="A11" s="24" t="s">
        <v>78</v>
      </c>
      <c r="B11" s="25" t="str">
        <f>IF(B10=Assumptions!B7,"OK","Mismatch — update unit mix or Assumptions!B7")</f>
        <v>OK</v>
      </c>
    </row>
    <row r="13" spans="1:6" x14ac:dyDescent="0.25">
      <c r="A13" s="14" t="s">
        <v>79</v>
      </c>
      <c r="B13" s="15"/>
      <c r="C13" s="15"/>
      <c r="D13" s="15"/>
      <c r="E13" s="15"/>
      <c r="F13" s="15"/>
    </row>
    <row r="14" spans="1:6" x14ac:dyDescent="0.25">
      <c r="A14" s="17"/>
      <c r="B14" s="27">
        <f>1</f>
        <v>1</v>
      </c>
      <c r="C14" s="27">
        <f>B14+1</f>
        <v>2</v>
      </c>
      <c r="D14" s="27">
        <f>C14+1</f>
        <v>3</v>
      </c>
      <c r="E14" s="27">
        <f>D14+1</f>
        <v>4</v>
      </c>
      <c r="F14" s="27">
        <f>E14+1</f>
        <v>5</v>
      </c>
    </row>
    <row r="15" spans="1:6" x14ac:dyDescent="0.25">
      <c r="A15" s="17" t="s">
        <v>80</v>
      </c>
      <c r="B15" s="21">
        <f>$F$10</f>
        <v>700800</v>
      </c>
      <c r="C15" s="21">
        <f>B15*(1+Assumptions!$B$17)</f>
        <v>721824</v>
      </c>
      <c r="D15" s="21">
        <f>C15*(1+Assumptions!$B$17)</f>
        <v>743478.72</v>
      </c>
      <c r="E15" s="21">
        <f>D15*(1+Assumptions!$B$17)</f>
        <v>765783.08160000003</v>
      </c>
      <c r="F15" s="21">
        <f>E15*(1+Assumptions!$B$17)</f>
        <v>788756.57404800004</v>
      </c>
    </row>
    <row r="16" spans="1:6" x14ac:dyDescent="0.25">
      <c r="A16" s="17" t="s">
        <v>14</v>
      </c>
      <c r="B16" s="28">
        <f>-B15*Assumptions!$B$16</f>
        <v>-35040</v>
      </c>
      <c r="C16" s="28">
        <f>-C15*Assumptions!$B$16</f>
        <v>-36091.200000000004</v>
      </c>
      <c r="D16" s="28">
        <f>-D15*Assumptions!$B$16</f>
        <v>-37173.936000000002</v>
      </c>
      <c r="E16" s="28">
        <f>-E15*Assumptions!$B$16</f>
        <v>-38289.15408</v>
      </c>
      <c r="F16" s="28">
        <f>-F15*Assumptions!$B$16</f>
        <v>-39437.828702400002</v>
      </c>
    </row>
    <row r="17" spans="1:6" x14ac:dyDescent="0.25">
      <c r="A17" s="18" t="s">
        <v>81</v>
      </c>
      <c r="B17" s="23">
        <f>B15+B16</f>
        <v>665760</v>
      </c>
      <c r="C17" s="23">
        <f>C15+C16</f>
        <v>685732.8</v>
      </c>
      <c r="D17" s="23">
        <f>D15+D16</f>
        <v>706304.78399999999</v>
      </c>
      <c r="E17" s="23">
        <f>E15+E16</f>
        <v>727493.92752000003</v>
      </c>
      <c r="F17" s="23">
        <f>F15+F16</f>
        <v>749318.74534560007</v>
      </c>
    </row>
    <row r="18" spans="1:6" x14ac:dyDescent="0.25">
      <c r="A18" s="17" t="s">
        <v>82</v>
      </c>
      <c r="B18" s="21">
        <f>(Assumptions!$B$19*Assumptions!$B$7)*12</f>
        <v>16800</v>
      </c>
      <c r="C18" s="21">
        <f>B18*(1+Assumptions!$B$17)</f>
        <v>17304</v>
      </c>
      <c r="D18" s="21">
        <f>C18*(1+Assumptions!$B$17)</f>
        <v>17823.12</v>
      </c>
      <c r="E18" s="21">
        <f>D18*(1+Assumptions!$B$17)</f>
        <v>18357.813599999998</v>
      </c>
      <c r="F18" s="21">
        <f>E18*(1+Assumptions!$B$17)</f>
        <v>18908.548007999998</v>
      </c>
    </row>
    <row r="19" spans="1:6" x14ac:dyDescent="0.25">
      <c r="A19" s="29" t="s">
        <v>83</v>
      </c>
      <c r="B19" s="30">
        <f>B17+B18</f>
        <v>682560</v>
      </c>
      <c r="C19" s="30">
        <f>C17+C18</f>
        <v>703036.8</v>
      </c>
      <c r="D19" s="30">
        <f>D17+D18</f>
        <v>724127.90399999998</v>
      </c>
      <c r="E19" s="30">
        <f>E17+E18</f>
        <v>745851.74112000002</v>
      </c>
      <c r="F19" s="30">
        <f>F17+F18</f>
        <v>768227.29335360008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ignoredErrors>
    <ignoredError sqref="B18:C18 D18:F1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showGridLines="0" zoomScaleNormal="100" workbookViewId="0">
      <selection activeCell="F25" sqref="F25"/>
    </sheetView>
  </sheetViews>
  <sheetFormatPr defaultColWidth="8.7109375" defaultRowHeight="15" x14ac:dyDescent="0.25"/>
  <cols>
    <col min="1" max="1" width="60" customWidth="1"/>
  </cols>
  <sheetData>
    <row r="1" spans="1:6" ht="27.75" customHeight="1" x14ac:dyDescent="0.25">
      <c r="A1" s="73" t="s">
        <v>85</v>
      </c>
      <c r="B1" s="73"/>
      <c r="C1" s="73"/>
      <c r="D1" s="73"/>
      <c r="E1" s="12"/>
      <c r="F1" s="12"/>
    </row>
    <row r="2" spans="1:6" x14ac:dyDescent="0.25">
      <c r="A2" s="1" t="s">
        <v>86</v>
      </c>
    </row>
    <row r="3" spans="1:6" x14ac:dyDescent="0.25">
      <c r="A3" s="1"/>
    </row>
    <row r="4" spans="1:6" x14ac:dyDescent="0.25">
      <c r="A4" s="14" t="s">
        <v>87</v>
      </c>
      <c r="B4" s="15"/>
      <c r="C4" s="15"/>
      <c r="D4" s="15"/>
    </row>
    <row r="5" spans="1:6" x14ac:dyDescent="0.25">
      <c r="A5" s="18" t="s">
        <v>88</v>
      </c>
      <c r="B5" s="18" t="s">
        <v>89</v>
      </c>
      <c r="C5" s="18" t="s">
        <v>90</v>
      </c>
    </row>
    <row r="6" spans="1:6" x14ac:dyDescent="0.25">
      <c r="A6" s="17" t="s">
        <v>91</v>
      </c>
      <c r="B6" s="20">
        <v>1500</v>
      </c>
      <c r="C6" s="21">
        <f>B6*Assumptions!$B$7</f>
        <v>60000</v>
      </c>
    </row>
    <row r="7" spans="1:6" x14ac:dyDescent="0.25">
      <c r="A7" s="17" t="s">
        <v>92</v>
      </c>
      <c r="B7" s="20">
        <v>500</v>
      </c>
      <c r="C7" s="21">
        <f>B7*Assumptions!$B$7</f>
        <v>20000</v>
      </c>
    </row>
    <row r="8" spans="1:6" x14ac:dyDescent="0.25">
      <c r="A8" s="17" t="s">
        <v>93</v>
      </c>
      <c r="B8" s="20">
        <v>800</v>
      </c>
      <c r="C8" s="21">
        <f>B8*Assumptions!$B$7</f>
        <v>32000</v>
      </c>
    </row>
    <row r="9" spans="1:6" x14ac:dyDescent="0.25">
      <c r="A9" s="17" t="s">
        <v>94</v>
      </c>
      <c r="B9" s="20">
        <v>600</v>
      </c>
      <c r="C9" s="21">
        <f>B9*Assumptions!$B$7</f>
        <v>24000</v>
      </c>
    </row>
    <row r="10" spans="1:6" x14ac:dyDescent="0.25">
      <c r="A10" s="17" t="s">
        <v>95</v>
      </c>
      <c r="B10" s="20">
        <v>300</v>
      </c>
      <c r="C10" s="21">
        <f>B10*Assumptions!$B$7</f>
        <v>12000</v>
      </c>
    </row>
    <row r="11" spans="1:6" x14ac:dyDescent="0.25">
      <c r="A11" s="17" t="s">
        <v>96</v>
      </c>
      <c r="B11" s="20">
        <v>200</v>
      </c>
      <c r="C11" s="21">
        <f>B11*Assumptions!$B$7</f>
        <v>8000</v>
      </c>
    </row>
    <row r="12" spans="1:6" x14ac:dyDescent="0.25">
      <c r="A12" s="18" t="s">
        <v>97</v>
      </c>
      <c r="B12" s="23">
        <f>SUM(B6:B11)</f>
        <v>3900</v>
      </c>
      <c r="C12" s="23">
        <f>SUM(C6:C11)</f>
        <v>156000</v>
      </c>
    </row>
    <row r="14" spans="1:6" x14ac:dyDescent="0.25">
      <c r="A14" s="14" t="s">
        <v>98</v>
      </c>
      <c r="B14" s="15"/>
      <c r="C14" s="15"/>
      <c r="D14" s="15"/>
      <c r="E14" s="15"/>
      <c r="F14" s="15"/>
    </row>
    <row r="15" spans="1:6" x14ac:dyDescent="0.25">
      <c r="A15" s="17"/>
      <c r="B15" s="27">
        <f>1</f>
        <v>1</v>
      </c>
      <c r="C15" s="27">
        <f>B15+1</f>
        <v>2</v>
      </c>
      <c r="D15" s="27">
        <f>C15+1</f>
        <v>3</v>
      </c>
      <c r="E15" s="27">
        <f>D15+1</f>
        <v>4</v>
      </c>
      <c r="F15" s="27">
        <f>E15+1</f>
        <v>5</v>
      </c>
    </row>
    <row r="16" spans="1:6" x14ac:dyDescent="0.25">
      <c r="A16" s="17" t="s">
        <v>99</v>
      </c>
      <c r="B16" s="21">
        <f>$C$12</f>
        <v>156000</v>
      </c>
      <c r="C16" s="21">
        <f>B16*(1+Assumptions!$B$18)</f>
        <v>159900</v>
      </c>
      <c r="D16" s="21">
        <f>C16*(1+Assumptions!$B$18)</f>
        <v>163897.5</v>
      </c>
      <c r="E16" s="21">
        <f>D16*(1+Assumptions!$B$18)</f>
        <v>167994.9375</v>
      </c>
      <c r="F16" s="21">
        <f>E16*(1+Assumptions!$B$18)</f>
        <v>172194.81093749998</v>
      </c>
    </row>
    <row r="17" spans="1:6" x14ac:dyDescent="0.25">
      <c r="A17" s="17" t="s">
        <v>100</v>
      </c>
      <c r="B17" s="21">
        <f>Assumptions!$B$20*'Rent Roll'!B19</f>
        <v>27302.400000000001</v>
      </c>
      <c r="C17" s="21">
        <f>Assumptions!$B$20*'Rent Roll'!C19</f>
        <v>28121.472000000002</v>
      </c>
      <c r="D17" s="21">
        <f>Assumptions!$B$20*'Rent Roll'!D19</f>
        <v>28965.116160000001</v>
      </c>
      <c r="E17" s="21">
        <f>Assumptions!$B$20*'Rent Roll'!E19</f>
        <v>29834.069644800002</v>
      </c>
      <c r="F17" s="21">
        <f>Assumptions!$B$20*'Rent Roll'!F19</f>
        <v>30729.091734144004</v>
      </c>
    </row>
    <row r="18" spans="1:6" x14ac:dyDescent="0.25">
      <c r="A18" s="17" t="s">
        <v>101</v>
      </c>
      <c r="B18" s="21">
        <f>Assumptions!$B$21*Assumptions!$B$7</f>
        <v>12000</v>
      </c>
      <c r="C18" s="21">
        <f>B18*(1+Assumptions!$B$18)</f>
        <v>12299.999999999998</v>
      </c>
      <c r="D18" s="21">
        <f>C18*(1+Assumptions!$B$18)</f>
        <v>12607.499999999996</v>
      </c>
      <c r="E18" s="21">
        <f>D18*(1+Assumptions!$B$18)</f>
        <v>12922.687499999995</v>
      </c>
      <c r="F18" s="21">
        <f>E18*(1+Assumptions!$B$18)</f>
        <v>13245.754687499993</v>
      </c>
    </row>
    <row r="19" spans="1:6" x14ac:dyDescent="0.25">
      <c r="A19" s="18" t="s">
        <v>102</v>
      </c>
      <c r="B19" s="23">
        <f>SUM(B16:B18)</f>
        <v>195302.39999999999</v>
      </c>
      <c r="C19" s="23">
        <f>SUM(C16:C18)</f>
        <v>200321.47200000001</v>
      </c>
      <c r="D19" s="23">
        <f>SUM(D16:D18)</f>
        <v>205470.11616000001</v>
      </c>
      <c r="E19" s="23">
        <f>SUM(E16:E18)</f>
        <v>210751.69464480001</v>
      </c>
      <c r="F19" s="23">
        <f>SUM(F16:F18)</f>
        <v>216169.65735914395</v>
      </c>
    </row>
    <row r="20" spans="1:6" x14ac:dyDescent="0.25">
      <c r="A20" s="31" t="s">
        <v>83</v>
      </c>
      <c r="B20" s="32">
        <f>'Rent Roll'!B19</f>
        <v>682560</v>
      </c>
      <c r="C20" s="32">
        <f>'Rent Roll'!C19</f>
        <v>703036.8</v>
      </c>
      <c r="D20" s="32">
        <f>'Rent Roll'!D19</f>
        <v>724127.90399999998</v>
      </c>
      <c r="E20" s="32">
        <f>'Rent Roll'!E19</f>
        <v>745851.74112000002</v>
      </c>
      <c r="F20" s="32">
        <f>'Rent Roll'!F19</f>
        <v>768227.29335360008</v>
      </c>
    </row>
    <row r="21" spans="1:6" x14ac:dyDescent="0.25">
      <c r="A21" s="29" t="s">
        <v>103</v>
      </c>
      <c r="B21" s="30">
        <f>B20-B19</f>
        <v>487257.59999999998</v>
      </c>
      <c r="C21" s="30">
        <f>C20-C19</f>
        <v>502715.32800000004</v>
      </c>
      <c r="D21" s="30">
        <f>D20-D19</f>
        <v>518657.78784</v>
      </c>
      <c r="E21" s="30">
        <f>E20-E19</f>
        <v>535100.04647519998</v>
      </c>
      <c r="F21" s="30">
        <f>F20-F19</f>
        <v>552057.63599445613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ignoredErrors>
    <ignoredError sqref="D17:F1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showGridLines="0" zoomScaleNormal="100" workbookViewId="0">
      <selection activeCell="H6" sqref="H6"/>
    </sheetView>
  </sheetViews>
  <sheetFormatPr defaultColWidth="8.7109375" defaultRowHeight="15" x14ac:dyDescent="0.25"/>
  <cols>
    <col min="1" max="1" width="47.42578125" bestFit="1" customWidth="1"/>
    <col min="2" max="6" width="10.140625" bestFit="1" customWidth="1"/>
  </cols>
  <sheetData>
    <row r="1" spans="1:6" ht="27.75" customHeight="1" x14ac:dyDescent="0.25">
      <c r="A1" s="73" t="s">
        <v>104</v>
      </c>
      <c r="B1" s="73"/>
      <c r="C1" s="73"/>
      <c r="D1" s="73"/>
      <c r="E1" s="12"/>
      <c r="F1" s="12"/>
    </row>
    <row r="2" spans="1:6" x14ac:dyDescent="0.25">
      <c r="A2" s="1" t="s">
        <v>105</v>
      </c>
    </row>
    <row r="3" spans="1:6" x14ac:dyDescent="0.25">
      <c r="A3" s="1"/>
    </row>
    <row r="4" spans="1:6" x14ac:dyDescent="0.25">
      <c r="A4" s="14" t="s">
        <v>106</v>
      </c>
      <c r="B4" s="15"/>
      <c r="C4" s="15"/>
    </row>
    <row r="5" spans="1:6" x14ac:dyDescent="0.25">
      <c r="A5" s="17" t="s">
        <v>22</v>
      </c>
      <c r="B5" s="32">
        <f>Assumptions!$B$25</f>
        <v>4354000</v>
      </c>
    </row>
    <row r="6" spans="1:6" x14ac:dyDescent="0.25">
      <c r="A6" s="17" t="s">
        <v>23</v>
      </c>
      <c r="B6" s="33">
        <f>Assumptions!$B$26</f>
        <v>6.5000000000000002E-2</v>
      </c>
    </row>
    <row r="7" spans="1:6" x14ac:dyDescent="0.25">
      <c r="A7" s="17" t="s">
        <v>24</v>
      </c>
      <c r="B7" s="34">
        <f>Assumptions!$B$27</f>
        <v>30</v>
      </c>
    </row>
    <row r="8" spans="1:6" x14ac:dyDescent="0.25">
      <c r="A8" s="17" t="s">
        <v>25</v>
      </c>
      <c r="B8" s="34">
        <f>Assumptions!$B$28</f>
        <v>10</v>
      </c>
    </row>
    <row r="9" spans="1:6" x14ac:dyDescent="0.25">
      <c r="A9" s="17" t="s">
        <v>26</v>
      </c>
      <c r="B9" s="34">
        <f>Assumptions!$B$29</f>
        <v>0</v>
      </c>
    </row>
    <row r="10" spans="1:6" x14ac:dyDescent="0.25">
      <c r="A10" s="18" t="s">
        <v>107</v>
      </c>
      <c r="B10" s="23">
        <f>-PMT(B6,B7,B5)</f>
        <v>333418.18353869475</v>
      </c>
    </row>
    <row r="12" spans="1:6" x14ac:dyDescent="0.25">
      <c r="A12" s="14" t="s">
        <v>108</v>
      </c>
      <c r="B12" s="15"/>
      <c r="C12" s="15"/>
      <c r="D12" s="15"/>
      <c r="E12" s="15"/>
      <c r="F12" s="15"/>
    </row>
    <row r="13" spans="1:6" x14ac:dyDescent="0.25">
      <c r="A13" s="17"/>
      <c r="B13" s="27">
        <f>1</f>
        <v>1</v>
      </c>
      <c r="C13" s="27">
        <f>B13+1</f>
        <v>2</v>
      </c>
      <c r="D13" s="27">
        <f>C13+1</f>
        <v>3</v>
      </c>
      <c r="E13" s="27">
        <f>D13+1</f>
        <v>4</v>
      </c>
      <c r="F13" s="27">
        <f>E13+1</f>
        <v>5</v>
      </c>
    </row>
    <row r="14" spans="1:6" x14ac:dyDescent="0.25">
      <c r="A14" s="17" t="s">
        <v>109</v>
      </c>
      <c r="B14" s="21">
        <f>$B$5</f>
        <v>4354000</v>
      </c>
      <c r="C14" s="21">
        <f>B17</f>
        <v>4303591.8164613051</v>
      </c>
      <c r="D14" s="21">
        <f>C17</f>
        <v>4249907.1009925948</v>
      </c>
      <c r="E14" s="21">
        <f>D17</f>
        <v>4192732.879018419</v>
      </c>
      <c r="F14" s="21">
        <f>E17</f>
        <v>4131842.3326159213</v>
      </c>
    </row>
    <row r="15" spans="1:6" x14ac:dyDescent="0.25">
      <c r="A15" s="17" t="s">
        <v>110</v>
      </c>
      <c r="B15" s="21">
        <f>B14*$B$6</f>
        <v>283010</v>
      </c>
      <c r="C15" s="21">
        <f>C14*$B$6</f>
        <v>279733.46806998487</v>
      </c>
      <c r="D15" s="21">
        <f>D14*$B$6</f>
        <v>276243.96156451869</v>
      </c>
      <c r="E15" s="21">
        <f>E14*$B$6</f>
        <v>272527.63713619724</v>
      </c>
      <c r="F15" s="21">
        <f>F14*$B$6</f>
        <v>268569.75162003492</v>
      </c>
    </row>
    <row r="16" spans="1:6" x14ac:dyDescent="0.25">
      <c r="A16" s="17" t="s">
        <v>111</v>
      </c>
      <c r="B16" s="21">
        <f>IF(B13&lt;=$B$9,0,$B$10-B15)</f>
        <v>50408.18353869475</v>
      </c>
      <c r="C16" s="21">
        <f>IF(C13&lt;=$B$9,0,$B$10-C15)</f>
        <v>53684.715468709881</v>
      </c>
      <c r="D16" s="21">
        <f>IF(D13&lt;=$B$9,0,$B$10-D15)</f>
        <v>57174.221974176064</v>
      </c>
      <c r="E16" s="21">
        <f>IF(E13&lt;=$B$9,0,$B$10-E15)</f>
        <v>60890.546402497508</v>
      </c>
      <c r="F16" s="21">
        <f>IF(F13&lt;=$B$9,0,$B$10-F15)</f>
        <v>64848.43191865983</v>
      </c>
    </row>
    <row r="17" spans="1:6" x14ac:dyDescent="0.25">
      <c r="A17" s="17" t="s">
        <v>112</v>
      </c>
      <c r="B17" s="21">
        <f>B14-B16</f>
        <v>4303591.8164613051</v>
      </c>
      <c r="C17" s="21">
        <f>C14-C16</f>
        <v>4249907.1009925948</v>
      </c>
      <c r="D17" s="21">
        <f>D14-D16</f>
        <v>4192732.879018419</v>
      </c>
      <c r="E17" s="21">
        <f>E14-E16</f>
        <v>4131842.3326159213</v>
      </c>
      <c r="F17" s="21">
        <f>F14-F16</f>
        <v>4066993.9006972616</v>
      </c>
    </row>
    <row r="18" spans="1:6" x14ac:dyDescent="0.25">
      <c r="A18" s="18" t="s">
        <v>113</v>
      </c>
      <c r="B18" s="23">
        <f>B15+B16</f>
        <v>333418.18353869475</v>
      </c>
      <c r="C18" s="23">
        <f>C15+C16</f>
        <v>333418.18353869475</v>
      </c>
      <c r="D18" s="23">
        <f>D15+D16</f>
        <v>333418.18353869475</v>
      </c>
      <c r="E18" s="23">
        <f>E15+E16</f>
        <v>333418.18353869475</v>
      </c>
      <c r="F18" s="23">
        <f>F15+F16</f>
        <v>333418.18353869475</v>
      </c>
    </row>
    <row r="19" spans="1:6" x14ac:dyDescent="0.25">
      <c r="A19" s="31" t="s">
        <v>103</v>
      </c>
      <c r="B19" s="32">
        <f>'Operating Expenses'!B21</f>
        <v>487257.59999999998</v>
      </c>
      <c r="C19" s="32">
        <f>'Operating Expenses'!C21</f>
        <v>502715.32800000004</v>
      </c>
      <c r="D19" s="32">
        <f>'Operating Expenses'!D21</f>
        <v>518657.78784</v>
      </c>
      <c r="E19" s="32">
        <f>'Operating Expenses'!E21</f>
        <v>535100.04647519998</v>
      </c>
      <c r="F19" s="32">
        <f>'Operating Expenses'!F21</f>
        <v>552057.63599445613</v>
      </c>
    </row>
    <row r="20" spans="1:6" x14ac:dyDescent="0.25">
      <c r="A20" s="29" t="s">
        <v>114</v>
      </c>
      <c r="B20" s="35">
        <f>B19/B18</f>
        <v>1.4614007995261344</v>
      </c>
      <c r="C20" s="35">
        <f>C19/C18</f>
        <v>1.5077621822076106</v>
      </c>
      <c r="D20" s="35">
        <f>D19/D18</f>
        <v>1.555577390336923</v>
      </c>
      <c r="E20" s="35">
        <f>E19/E18</f>
        <v>1.6048916132766919</v>
      </c>
      <c r="F20" s="35">
        <f>F19/F18</f>
        <v>1.6557514354353959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"/>
  <sheetViews>
    <sheetView showGridLines="0" zoomScaleNormal="100" workbookViewId="0">
      <selection activeCell="G24" sqref="G24"/>
    </sheetView>
  </sheetViews>
  <sheetFormatPr defaultColWidth="8.7109375" defaultRowHeight="15" x14ac:dyDescent="0.25"/>
  <cols>
    <col min="1" max="1" width="60" customWidth="1"/>
    <col min="2" max="2" width="11.28515625" bestFit="1" customWidth="1"/>
    <col min="3" max="6" width="9.7109375" bestFit="1" customWidth="1"/>
    <col min="7" max="7" width="11.140625" bestFit="1" customWidth="1"/>
  </cols>
  <sheetData>
    <row r="1" spans="1:6" ht="27.75" customHeight="1" x14ac:dyDescent="0.25">
      <c r="A1" s="73" t="s">
        <v>115</v>
      </c>
      <c r="B1" s="73"/>
      <c r="C1" s="73"/>
      <c r="D1" s="73"/>
      <c r="E1" s="12"/>
      <c r="F1" s="12"/>
    </row>
    <row r="2" spans="1:6" x14ac:dyDescent="0.25">
      <c r="A2" s="1" t="s">
        <v>116</v>
      </c>
    </row>
    <row r="3" spans="1:6" x14ac:dyDescent="0.25">
      <c r="A3" s="1"/>
    </row>
    <row r="4" spans="1:6" x14ac:dyDescent="0.25">
      <c r="A4" s="14" t="s">
        <v>117</v>
      </c>
      <c r="B4" s="15"/>
      <c r="C4" s="15"/>
    </row>
    <row r="5" spans="1:6" x14ac:dyDescent="0.25">
      <c r="A5" s="17" t="s">
        <v>12</v>
      </c>
      <c r="B5" s="32">
        <f>Assumptions!$B$13</f>
        <v>6220000</v>
      </c>
    </row>
    <row r="6" spans="1:6" x14ac:dyDescent="0.25">
      <c r="A6" s="17" t="s">
        <v>22</v>
      </c>
      <c r="B6" s="32">
        <f>Assumptions!$B$25</f>
        <v>4354000</v>
      </c>
    </row>
    <row r="7" spans="1:6" x14ac:dyDescent="0.25">
      <c r="A7" s="29" t="s">
        <v>118</v>
      </c>
      <c r="B7" s="30">
        <f>B5-B6</f>
        <v>1866000</v>
      </c>
    </row>
    <row r="9" spans="1:6" x14ac:dyDescent="0.25">
      <c r="A9" s="14" t="s">
        <v>119</v>
      </c>
      <c r="B9" s="15"/>
      <c r="C9" s="15"/>
    </row>
    <row r="10" spans="1:6" x14ac:dyDescent="0.25">
      <c r="A10" s="17" t="s">
        <v>28</v>
      </c>
      <c r="B10" s="34">
        <f>Assumptions!$B$32</f>
        <v>5</v>
      </c>
    </row>
    <row r="11" spans="1:6" x14ac:dyDescent="0.25">
      <c r="A11" s="17" t="s">
        <v>120</v>
      </c>
      <c r="B11" s="21">
        <f>'Debt Schedule'!F19*(1+Assumptions!$B$17)</f>
        <v>568619.36507428985</v>
      </c>
    </row>
    <row r="12" spans="1:6" x14ac:dyDescent="0.25">
      <c r="A12" s="17" t="s">
        <v>29</v>
      </c>
      <c r="B12" s="33">
        <f>Assumptions!$B$33</f>
        <v>0.08</v>
      </c>
    </row>
    <row r="13" spans="1:6" x14ac:dyDescent="0.25">
      <c r="A13" s="17" t="s">
        <v>121</v>
      </c>
      <c r="B13" s="21">
        <f>B11/B12</f>
        <v>7107742.0634286227</v>
      </c>
    </row>
    <row r="14" spans="1:6" x14ac:dyDescent="0.25">
      <c r="A14" s="17" t="s">
        <v>122</v>
      </c>
      <c r="B14" s="28">
        <f>-B13*Assumptions!$B$34</f>
        <v>-142154.84126857246</v>
      </c>
    </row>
    <row r="15" spans="1:6" x14ac:dyDescent="0.25">
      <c r="A15" s="17" t="s">
        <v>123</v>
      </c>
      <c r="B15" s="21">
        <f>B13+B14</f>
        <v>6965587.2221600506</v>
      </c>
    </row>
    <row r="16" spans="1:6" x14ac:dyDescent="0.25">
      <c r="A16" s="17" t="s">
        <v>124</v>
      </c>
      <c r="B16" s="28">
        <f>-'Debt Schedule'!F17</f>
        <v>-4066993.9006972616</v>
      </c>
    </row>
    <row r="17" spans="1:7" x14ac:dyDescent="0.25">
      <c r="A17" s="29" t="s">
        <v>125</v>
      </c>
      <c r="B17" s="30">
        <f>B15+B16</f>
        <v>2898593.3214627891</v>
      </c>
    </row>
    <row r="19" spans="1:7" x14ac:dyDescent="0.25">
      <c r="A19" s="14" t="s">
        <v>126</v>
      </c>
      <c r="B19" s="15"/>
      <c r="C19" s="15"/>
      <c r="D19" s="15"/>
      <c r="E19" s="15"/>
      <c r="F19" s="15"/>
      <c r="G19" s="15"/>
    </row>
    <row r="20" spans="1:7" x14ac:dyDescent="0.25">
      <c r="A20" s="17"/>
      <c r="B20" s="27">
        <f>0</f>
        <v>0</v>
      </c>
      <c r="C20" s="27">
        <f>B20+1</f>
        <v>1</v>
      </c>
      <c r="D20" s="27">
        <f>C20+1</f>
        <v>2</v>
      </c>
      <c r="E20" s="27">
        <f>D20+1</f>
        <v>3</v>
      </c>
      <c r="F20" s="27">
        <f>E20+1</f>
        <v>4</v>
      </c>
      <c r="G20" s="27">
        <f>F20+1</f>
        <v>5</v>
      </c>
    </row>
    <row r="21" spans="1:7" x14ac:dyDescent="0.25">
      <c r="A21" s="31" t="s">
        <v>127</v>
      </c>
      <c r="B21" s="16"/>
      <c r="C21" s="32">
        <f>'Operating Expenses'!B21</f>
        <v>487257.59999999998</v>
      </c>
      <c r="D21" s="32">
        <f>'Operating Expenses'!C21</f>
        <v>502715.32800000004</v>
      </c>
      <c r="E21" s="32">
        <f>'Operating Expenses'!D21</f>
        <v>518657.78784</v>
      </c>
      <c r="F21" s="32">
        <f>'Operating Expenses'!E21</f>
        <v>535100.04647519998</v>
      </c>
      <c r="G21" s="32">
        <f>'Operating Expenses'!F21</f>
        <v>552057.63599445613</v>
      </c>
    </row>
    <row r="22" spans="1:7" x14ac:dyDescent="0.25">
      <c r="A22" s="17" t="s">
        <v>128</v>
      </c>
      <c r="B22" s="16"/>
      <c r="C22" s="16"/>
      <c r="D22" s="16"/>
      <c r="E22" s="16"/>
      <c r="F22" s="16"/>
      <c r="G22" s="21">
        <f>B15</f>
        <v>6965587.2221600506</v>
      </c>
    </row>
    <row r="23" spans="1:7" x14ac:dyDescent="0.25">
      <c r="A23" s="18" t="s">
        <v>129</v>
      </c>
      <c r="B23" s="36">
        <f>-B5</f>
        <v>-6220000</v>
      </c>
      <c r="C23" s="36">
        <f>C21+C22</f>
        <v>487257.59999999998</v>
      </c>
      <c r="D23" s="36">
        <f>D21+D22</f>
        <v>502715.32800000004</v>
      </c>
      <c r="E23" s="36">
        <f>E21+E22</f>
        <v>518657.78784</v>
      </c>
      <c r="F23" s="36">
        <f>F21+F22</f>
        <v>535100.04647519998</v>
      </c>
      <c r="G23" s="36">
        <f>G21+G22</f>
        <v>7517644.8581545064</v>
      </c>
    </row>
    <row r="25" spans="1:7" x14ac:dyDescent="0.25">
      <c r="A25" s="31" t="s">
        <v>130</v>
      </c>
      <c r="B25" s="16"/>
      <c r="C25" s="37">
        <f>-'Debt Schedule'!B18</f>
        <v>-333418.18353869475</v>
      </c>
      <c r="D25" s="37">
        <f>-'Debt Schedule'!C18</f>
        <v>-333418.18353869475</v>
      </c>
      <c r="E25" s="37">
        <f>-'Debt Schedule'!D18</f>
        <v>-333418.18353869475</v>
      </c>
      <c r="F25" s="37">
        <f>-'Debt Schedule'!E18</f>
        <v>-333418.18353869475</v>
      </c>
      <c r="G25" s="37">
        <f>-'Debt Schedule'!F18</f>
        <v>-333418.18353869475</v>
      </c>
    </row>
    <row r="26" spans="1:7" x14ac:dyDescent="0.25">
      <c r="A26" s="17" t="s">
        <v>131</v>
      </c>
      <c r="B26" s="16"/>
      <c r="C26" s="16"/>
      <c r="D26" s="16"/>
      <c r="E26" s="16"/>
      <c r="F26" s="16"/>
      <c r="G26" s="21">
        <f>B17</f>
        <v>2898593.3214627891</v>
      </c>
    </row>
    <row r="27" spans="1:7" x14ac:dyDescent="0.25">
      <c r="A27" s="29" t="s">
        <v>132</v>
      </c>
      <c r="B27" s="38">
        <f>-B7</f>
        <v>-1866000</v>
      </c>
      <c r="C27" s="38">
        <f>C21+C25</f>
        <v>153839.41646130523</v>
      </c>
      <c r="D27" s="38">
        <f>D21+D25</f>
        <v>169297.14446130529</v>
      </c>
      <c r="E27" s="38">
        <f>E21+E25</f>
        <v>185239.60430130525</v>
      </c>
      <c r="F27" s="38">
        <f>F21+F25</f>
        <v>201681.86293650523</v>
      </c>
      <c r="G27" s="38">
        <f>G21+G25+G26</f>
        <v>3117232.7739185505</v>
      </c>
    </row>
    <row r="29" spans="1:7" x14ac:dyDescent="0.25">
      <c r="A29" s="14" t="s">
        <v>133</v>
      </c>
      <c r="B29" s="15"/>
      <c r="C29" s="15"/>
    </row>
    <row r="30" spans="1:7" x14ac:dyDescent="0.25">
      <c r="A30" s="17" t="s">
        <v>134</v>
      </c>
      <c r="B30" s="39">
        <f>IRR(B23:G23)</f>
        <v>0.10249718459114643</v>
      </c>
    </row>
    <row r="31" spans="1:7" x14ac:dyDescent="0.25">
      <c r="A31" s="29" t="s">
        <v>135</v>
      </c>
      <c r="B31" s="40">
        <f>IRR(B27:G27)</f>
        <v>0.17490657409005439</v>
      </c>
    </row>
    <row r="32" spans="1:7" x14ac:dyDescent="0.25">
      <c r="A32" s="31" t="s">
        <v>31</v>
      </c>
      <c r="B32" s="41">
        <f>Assumptions!$B$35</f>
        <v>0.15</v>
      </c>
    </row>
    <row r="33" spans="1:2" x14ac:dyDescent="0.25">
      <c r="A33" s="29" t="s">
        <v>136</v>
      </c>
      <c r="B33" s="35">
        <f>SUM(C27:G27)/B7</f>
        <v>2.0510668821430715</v>
      </c>
    </row>
    <row r="34" spans="1:2" x14ac:dyDescent="0.25">
      <c r="A34" s="17" t="s">
        <v>137</v>
      </c>
      <c r="B34" s="39">
        <f>AVERAGE(C27:F27,G21+G25)/B7</f>
        <v>9.9538851084263913E-2</v>
      </c>
    </row>
    <row r="35" spans="1:2" x14ac:dyDescent="0.25">
      <c r="A35" s="17" t="s">
        <v>138</v>
      </c>
      <c r="B35" s="39">
        <f>C27/B7</f>
        <v>8.2443417181835593E-2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2"/>
  <sheetViews>
    <sheetView showGridLines="0" tabSelected="1" zoomScaleNormal="100" workbookViewId="0">
      <selection activeCell="B24" sqref="B24"/>
    </sheetView>
  </sheetViews>
  <sheetFormatPr defaultColWidth="8.7109375" defaultRowHeight="15" outlineLevelCol="1" x14ac:dyDescent="0.25"/>
  <cols>
    <col min="1" max="1" width="60" customWidth="1"/>
    <col min="2" max="2" width="23.42578125" bestFit="1" customWidth="1"/>
    <col min="9" max="9" width="32" customWidth="1" outlineLevel="1"/>
    <col min="10" max="10" width="10.42578125" bestFit="1" customWidth="1" outlineLevel="1"/>
    <col min="11" max="14" width="8.7109375" outlineLevel="1"/>
    <col min="15" max="15" width="9.85546875" customWidth="1" outlineLevel="1"/>
    <col min="16" max="16" width="6.140625" customWidth="1" outlineLevel="1"/>
  </cols>
  <sheetData>
    <row r="1" spans="1:15" ht="27.75" customHeight="1" x14ac:dyDescent="0.25">
      <c r="A1" s="73" t="s">
        <v>139</v>
      </c>
      <c r="B1" s="73"/>
      <c r="C1" s="73"/>
      <c r="D1" s="73"/>
      <c r="E1" s="12"/>
      <c r="F1" s="12"/>
      <c r="G1" s="12"/>
    </row>
    <row r="2" spans="1:15" x14ac:dyDescent="0.25">
      <c r="A2" s="1" t="s">
        <v>140</v>
      </c>
    </row>
    <row r="3" spans="1:15" x14ac:dyDescent="0.25">
      <c r="A3" s="1"/>
    </row>
    <row r="4" spans="1:15" x14ac:dyDescent="0.25">
      <c r="A4" s="14" t="s">
        <v>141</v>
      </c>
      <c r="B4" s="15"/>
      <c r="C4" s="15"/>
      <c r="D4" s="15"/>
      <c r="E4" s="15"/>
      <c r="F4" s="15"/>
      <c r="G4" s="15"/>
      <c r="I4" s="43" t="s">
        <v>142</v>
      </c>
    </row>
    <row r="5" spans="1:15" x14ac:dyDescent="0.25">
      <c r="I5" s="42" t="s">
        <v>143</v>
      </c>
      <c r="J5" s="44">
        <v>5.0000000000000001E-3</v>
      </c>
    </row>
    <row r="6" spans="1:15" x14ac:dyDescent="0.25">
      <c r="B6" s="49" t="s">
        <v>145</v>
      </c>
      <c r="C6" s="50">
        <f>Assumptions!$B$33-2*$J$5</f>
        <v>7.0000000000000007E-2</v>
      </c>
      <c r="D6" s="50">
        <f>Assumptions!$B$33-1*$J$5</f>
        <v>7.4999999999999997E-2</v>
      </c>
      <c r="E6" s="51">
        <f>Assumptions!$B$33</f>
        <v>0.08</v>
      </c>
      <c r="F6" s="50">
        <f>Assumptions!$B$33+1*$J$5</f>
        <v>8.5000000000000006E-2</v>
      </c>
      <c r="G6" s="50">
        <f>Assumptions!$B$33+2*$J$5</f>
        <v>0.09</v>
      </c>
      <c r="I6" s="42" t="s">
        <v>144</v>
      </c>
      <c r="J6" s="44">
        <v>5.0000000000000001E-3</v>
      </c>
    </row>
    <row r="7" spans="1:15" x14ac:dyDescent="0.25">
      <c r="B7" s="52">
        <f>Assumptions!$B$17-2*$J$6</f>
        <v>1.9999999999999997E-2</v>
      </c>
      <c r="C7" s="53">
        <f>$P18</f>
        <v>0.2014904933660695</v>
      </c>
      <c r="D7" s="53">
        <f>$P19</f>
        <v>0.17064573822267359</v>
      </c>
      <c r="E7" s="53">
        <f>$P20</f>
        <v>0.14047343791157108</v>
      </c>
      <c r="F7" s="53">
        <f>$P21</f>
        <v>0.11066503239236591</v>
      </c>
      <c r="G7" s="53">
        <f>$P22</f>
        <v>8.0914140388558931E-2</v>
      </c>
    </row>
    <row r="8" spans="1:15" x14ac:dyDescent="0.25">
      <c r="B8" s="52">
        <f>Assumptions!$B$17-1*$J$6</f>
        <v>2.4999999999999998E-2</v>
      </c>
      <c r="C8" s="53">
        <f>$P23</f>
        <v>0.21743420369910593</v>
      </c>
      <c r="D8" s="53">
        <f>$P24</f>
        <v>0.18733848679993703</v>
      </c>
      <c r="E8" s="53">
        <f>$P25</f>
        <v>0.15803215751753008</v>
      </c>
      <c r="F8" s="53">
        <f>$P26</f>
        <v>0.12923170265938499</v>
      </c>
      <c r="G8" s="53">
        <f>$P27</f>
        <v>0.10066513298081792</v>
      </c>
      <c r="I8" s="1" t="s">
        <v>146</v>
      </c>
    </row>
    <row r="9" spans="1:15" x14ac:dyDescent="0.25">
      <c r="B9" s="54">
        <f>Assumptions!$B$17</f>
        <v>0.03</v>
      </c>
      <c r="C9" s="53">
        <f>$P28</f>
        <v>0.23288328054833762</v>
      </c>
      <c r="D9" s="53">
        <f>$P29</f>
        <v>0.20345151545229578</v>
      </c>
      <c r="E9" s="54">
        <f>$P30</f>
        <v>0.17490657409005417</v>
      </c>
      <c r="F9" s="53">
        <f>$P31</f>
        <v>0.14698356662986356</v>
      </c>
      <c r="G9" s="53">
        <f>$P32</f>
        <v>0.11943556358182628</v>
      </c>
      <c r="I9" s="43" t="s">
        <v>147</v>
      </c>
      <c r="J9" s="43" t="s">
        <v>148</v>
      </c>
      <c r="K9" s="43" t="s">
        <v>149</v>
      </c>
      <c r="L9" s="43" t="s">
        <v>150</v>
      </c>
      <c r="M9" s="43" t="s">
        <v>151</v>
      </c>
      <c r="N9" s="43" t="s">
        <v>152</v>
      </c>
      <c r="O9" s="43" t="s">
        <v>153</v>
      </c>
    </row>
    <row r="10" spans="1:15" x14ac:dyDescent="0.25">
      <c r="B10" s="52">
        <f>Assumptions!$B$17+1*$J$6</f>
        <v>3.4999999999999996E-2</v>
      </c>
      <c r="C10" s="53">
        <f>$P33</f>
        <v>0.24788400450057813</v>
      </c>
      <c r="D10" s="53">
        <f>$P34</f>
        <v>0.21904352530706706</v>
      </c>
      <c r="E10" s="53">
        <f>$P35</f>
        <v>0.19117195205168414</v>
      </c>
      <c r="F10" s="53">
        <f>$P36</f>
        <v>0.16401839125511475</v>
      </c>
      <c r="G10" s="53">
        <f>$P37</f>
        <v>0.13735444647616712</v>
      </c>
      <c r="I10" s="46">
        <f>B7</f>
        <v>1.9999999999999997E-2</v>
      </c>
      <c r="J10" s="47">
        <f>'Rent Roll'!$B$19*(1-Assumptions!$B$20)*(1+$I10)^0-('Operating Expenses'!$B$16+'Operating Expenses'!$B$18)</f>
        <v>487257.59999999998</v>
      </c>
      <c r="K10" s="47">
        <f>'Rent Roll'!$B$19*(1-Assumptions!$B$20)*(1+$I10)^1-('Operating Expenses'!$C$16+'Operating Expenses'!$C$18)</f>
        <v>496162.75199999998</v>
      </c>
      <c r="L10" s="47">
        <f>'Rent Roll'!$B$19*(1-Assumptions!$B$20)*(1+$I10)^2-('Operating Expenses'!$D$16+'Operating Expenses'!$D$18)</f>
        <v>505225.00703999994</v>
      </c>
      <c r="M10" s="47">
        <f>'Rent Roll'!$B$19*(1-Assumptions!$B$20)*(1+$I10)^3-('Operating Expenses'!$E$16+'Operating Expenses'!$E$18)</f>
        <v>514446.98218079994</v>
      </c>
      <c r="N10" s="47">
        <f>'Rent Roll'!$B$19*(1-Assumptions!$B$20)*(1+$I10)^4-('Operating Expenses'!$F$16+'Operating Expenses'!$F$18)</f>
        <v>523831.33369941602</v>
      </c>
      <c r="O10" s="47">
        <f>N10*(1+$I10)</f>
        <v>534307.96037340432</v>
      </c>
    </row>
    <row r="11" spans="1:15" x14ac:dyDescent="0.25">
      <c r="B11" s="52">
        <f>Assumptions!$B$17+2*$J$6</f>
        <v>0.04</v>
      </c>
      <c r="C11" s="53">
        <f>$P38</f>
        <v>0.26247640168427733</v>
      </c>
      <c r="D11" s="53">
        <f>$P39</f>
        <v>0.23416463728709136</v>
      </c>
      <c r="E11" s="53">
        <f>$P40</f>
        <v>0.20689162197471167</v>
      </c>
      <c r="F11" s="53">
        <f>$P41</f>
        <v>0.18041706842659511</v>
      </c>
      <c r="G11" s="53">
        <f>$P42</f>
        <v>0.15452645342595361</v>
      </c>
      <c r="I11" s="46">
        <f t="shared" ref="I11:I14" si="0">B8</f>
        <v>2.4999999999999998E-2</v>
      </c>
      <c r="J11" s="47">
        <f>'Rent Roll'!$B$19*(1-Assumptions!$B$20)*(1+$I11)^0-('Operating Expenses'!$B$16+'Operating Expenses'!$B$18)</f>
        <v>487257.59999999998</v>
      </c>
      <c r="K11" s="47">
        <f>'Rent Roll'!$B$19*(1-Assumptions!$B$20)*(1+$I11)^1-('Operating Expenses'!$C$16+'Operating Expenses'!$C$18)</f>
        <v>499439.03999999992</v>
      </c>
      <c r="L11" s="47">
        <f>'Rent Roll'!$B$19*(1-Assumptions!$B$20)*(1+$I11)^2-('Operating Expenses'!$D$16+'Operating Expenses'!$D$18)</f>
        <v>511925.01599999995</v>
      </c>
      <c r="M11" s="47">
        <f>'Rent Roll'!$B$19*(1-Assumptions!$B$20)*(1+$I11)^3-('Operating Expenses'!$E$16+'Operating Expenses'!$E$18)</f>
        <v>524723.14139999985</v>
      </c>
      <c r="N11" s="47">
        <f>'Rent Roll'!$B$19*(1-Assumptions!$B$20)*(1+$I11)^4-('Operating Expenses'!$F$16+'Operating Expenses'!$F$18)</f>
        <v>537841.21993499994</v>
      </c>
      <c r="O11" s="47">
        <f t="shared" ref="O11:O14" si="1">N11*(1+$I11)</f>
        <v>551287.25043337489</v>
      </c>
    </row>
    <row r="12" spans="1:15" x14ac:dyDescent="0.25">
      <c r="I12" s="46">
        <f t="shared" si="0"/>
        <v>0.03</v>
      </c>
      <c r="J12" s="47">
        <f>'Rent Roll'!$B$19*(1-Assumptions!$B$20)*(1+$I12)^0-('Operating Expenses'!$B$16+'Operating Expenses'!$B$18)</f>
        <v>487257.59999999998</v>
      </c>
      <c r="K12" s="47">
        <f>'Rent Roll'!$B$19*(1-Assumptions!$B$20)*(1+$I12)^1-('Operating Expenses'!$C$16+'Operating Expenses'!$C$18)</f>
        <v>502715.32799999998</v>
      </c>
      <c r="L12" s="47">
        <f>'Rent Roll'!$B$19*(1-Assumptions!$B$20)*(1+$I12)^2-('Operating Expenses'!$D$16+'Operating Expenses'!$D$18)</f>
        <v>518657.78783999989</v>
      </c>
      <c r="M12" s="47">
        <f>'Rent Roll'!$B$19*(1-Assumptions!$B$20)*(1+$I12)^3-('Operating Expenses'!$E$16+'Operating Expenses'!$E$18)</f>
        <v>535100.04647519998</v>
      </c>
      <c r="N12" s="47">
        <f>'Rent Roll'!$B$19*(1-Assumptions!$B$20)*(1+$I12)^4-('Operating Expenses'!$F$16+'Operating Expenses'!$F$18)</f>
        <v>552057.63599445601</v>
      </c>
      <c r="O12" s="47">
        <f t="shared" si="1"/>
        <v>568619.36507428973</v>
      </c>
    </row>
    <row r="13" spans="1:15" x14ac:dyDescent="0.25">
      <c r="I13" s="46">
        <f t="shared" si="0"/>
        <v>3.4999999999999996E-2</v>
      </c>
      <c r="J13" s="47">
        <f>'Rent Roll'!$B$19*(1-Assumptions!$B$20)*(1+$I13)^0-('Operating Expenses'!$B$16+'Operating Expenses'!$B$18)</f>
        <v>487257.59999999998</v>
      </c>
      <c r="K13" s="47">
        <f>'Rent Roll'!$B$19*(1-Assumptions!$B$20)*(1+$I13)^1-('Operating Expenses'!$C$16+'Operating Expenses'!$C$18)</f>
        <v>505991.61599999992</v>
      </c>
      <c r="L13" s="47">
        <f>'Rent Roll'!$B$19*(1-Assumptions!$B$20)*(1+$I13)^2-('Operating Expenses'!$D$16+'Operating Expenses'!$D$18)</f>
        <v>525423.32255999988</v>
      </c>
      <c r="M13" s="47">
        <f>'Rent Roll'!$B$19*(1-Assumptions!$B$20)*(1+$I13)^3-('Operating Expenses'!$E$16+'Operating Expenses'!$E$18)</f>
        <v>545578.1888495998</v>
      </c>
      <c r="N13" s="47">
        <f>'Rent Roll'!$B$19*(1-Assumptions!$B$20)*(1+$I13)^4-('Operating Expenses'!$F$16+'Operating Expenses'!$F$18)</f>
        <v>566482.60170933581</v>
      </c>
      <c r="O13" s="47">
        <f t="shared" si="1"/>
        <v>586309.49276916252</v>
      </c>
    </row>
    <row r="14" spans="1:15" x14ac:dyDescent="0.25">
      <c r="I14" s="46">
        <f t="shared" si="0"/>
        <v>0.04</v>
      </c>
      <c r="J14" s="47">
        <f>'Rent Roll'!$B$19*(1-Assumptions!$B$20)*(1+$I14)^0-('Operating Expenses'!$B$16+'Operating Expenses'!$B$18)</f>
        <v>487257.59999999998</v>
      </c>
      <c r="K14" s="47">
        <f>'Rent Roll'!$B$19*(1-Assumptions!$B$20)*(1+$I14)^1-('Operating Expenses'!$C$16+'Operating Expenses'!$C$18)</f>
        <v>509267.90399999998</v>
      </c>
      <c r="L14" s="47">
        <f>'Rent Roll'!$B$19*(1-Assumptions!$B$20)*(1+$I14)^2-('Operating Expenses'!$D$16+'Operating Expenses'!$D$18)</f>
        <v>532221.62016000005</v>
      </c>
      <c r="M14" s="47">
        <f>'Rent Roll'!$B$19*(1-Assumptions!$B$20)*(1+$I14)^3-('Operating Expenses'!$E$16+'Operating Expenses'!$E$18)</f>
        <v>556158.05996640003</v>
      </c>
      <c r="N14" s="47">
        <f>'Rent Roll'!$B$19*(1-Assumptions!$B$20)*(1+$I14)^4-('Operating Expenses'!$F$16+'Operating Expenses'!$F$18)</f>
        <v>581118.14674005623</v>
      </c>
      <c r="O14" s="47">
        <f t="shared" si="1"/>
        <v>604362.87260965852</v>
      </c>
    </row>
    <row r="16" spans="1:15" x14ac:dyDescent="0.25">
      <c r="I16" s="1" t="s">
        <v>154</v>
      </c>
    </row>
    <row r="17" spans="9:16" x14ac:dyDescent="0.25">
      <c r="I17" s="43" t="s">
        <v>155</v>
      </c>
      <c r="J17" s="43" t="s">
        <v>156</v>
      </c>
      <c r="K17" s="43" t="s">
        <v>157</v>
      </c>
      <c r="L17" s="43" t="s">
        <v>158</v>
      </c>
      <c r="M17" s="43" t="s">
        <v>159</v>
      </c>
      <c r="N17" s="43" t="s">
        <v>160</v>
      </c>
      <c r="O17" s="43" t="s">
        <v>161</v>
      </c>
      <c r="P17" s="43" t="s">
        <v>162</v>
      </c>
    </row>
    <row r="18" spans="9:16" x14ac:dyDescent="0.25">
      <c r="I18" s="13" t="s">
        <v>163</v>
      </c>
      <c r="J18" s="47">
        <f>-'Cash Flow &amp; Returns'!$B$7</f>
        <v>-1866000</v>
      </c>
      <c r="K18" s="47">
        <f>$J10-'Debt Schedule'!$B$18</f>
        <v>153839.41646130523</v>
      </c>
      <c r="L18" s="47">
        <f>$K10-'Debt Schedule'!$C$18</f>
        <v>162744.56846130523</v>
      </c>
      <c r="M18" s="47">
        <f>$L10-'Debt Schedule'!$D$18</f>
        <v>171806.82350130519</v>
      </c>
      <c r="N18" s="47">
        <f>$M10-'Debt Schedule'!$E$18</f>
        <v>181028.79864210519</v>
      </c>
      <c r="O18" s="47">
        <f>$N10-'Debt Schedule'!$F$18+$O10/C$6*(1-Assumptions!$B$34)-'Debt Schedule'!$F$17</f>
        <v>3603730.6946911192</v>
      </c>
      <c r="P18" s="46">
        <f t="shared" ref="P18:P42" si="2">IRR(J18:O18)</f>
        <v>0.2014904933660695</v>
      </c>
    </row>
    <row r="19" spans="9:16" x14ac:dyDescent="0.25">
      <c r="I19" s="13" t="s">
        <v>164</v>
      </c>
      <c r="J19" s="47">
        <f>-'Cash Flow &amp; Returns'!$B$7</f>
        <v>-1866000</v>
      </c>
      <c r="K19" s="47">
        <f>$J10-'Debt Schedule'!$B$18</f>
        <v>153839.41646130523</v>
      </c>
      <c r="L19" s="47">
        <f>$K10-'Debt Schedule'!$C$18</f>
        <v>162744.56846130523</v>
      </c>
      <c r="M19" s="47">
        <f>$L10-'Debt Schedule'!$D$18</f>
        <v>171806.82350130519</v>
      </c>
      <c r="N19" s="47">
        <f>$M10-'Debt Schedule'!$E$18</f>
        <v>181028.79864210519</v>
      </c>
      <c r="O19" s="47">
        <f>$N10-'Debt Schedule'!$F$18+$O10/D$6*(1-Assumptions!$B$34)-'Debt Schedule'!$F$17</f>
        <v>3105043.2650092761</v>
      </c>
      <c r="P19" s="46">
        <f t="shared" si="2"/>
        <v>0.17064573822267359</v>
      </c>
    </row>
    <row r="20" spans="9:16" x14ac:dyDescent="0.25">
      <c r="I20" s="13" t="s">
        <v>165</v>
      </c>
      <c r="J20" s="47">
        <f>-'Cash Flow &amp; Returns'!$B$7</f>
        <v>-1866000</v>
      </c>
      <c r="K20" s="47">
        <f>$J10-'Debt Schedule'!$B$18</f>
        <v>153839.41646130523</v>
      </c>
      <c r="L20" s="47">
        <f>$K10-'Debt Schedule'!$C$18</f>
        <v>162744.56846130523</v>
      </c>
      <c r="M20" s="47">
        <f>$L10-'Debt Schedule'!$D$18</f>
        <v>171806.82350130519</v>
      </c>
      <c r="N20" s="47">
        <f>$M10-'Debt Schedule'!$E$18</f>
        <v>181028.79864210519</v>
      </c>
      <c r="O20" s="47">
        <f>$N10-'Debt Schedule'!$F$18+$O10/E$6*(1-Assumptions!$B$34)-'Debt Schedule'!$F$17</f>
        <v>2668691.7640376627</v>
      </c>
      <c r="P20" s="46">
        <f t="shared" si="2"/>
        <v>0.14047343791157108</v>
      </c>
    </row>
    <row r="21" spans="9:16" x14ac:dyDescent="0.25">
      <c r="I21" s="13" t="s">
        <v>166</v>
      </c>
      <c r="J21" s="47">
        <f>-'Cash Flow &amp; Returns'!$B$7</f>
        <v>-1866000</v>
      </c>
      <c r="K21" s="47">
        <f>$J10-'Debt Schedule'!$B$18</f>
        <v>153839.41646130523</v>
      </c>
      <c r="L21" s="47">
        <f>$K10-'Debt Schedule'!$C$18</f>
        <v>162744.56846130523</v>
      </c>
      <c r="M21" s="47">
        <f>$L10-'Debt Schedule'!$D$18</f>
        <v>171806.82350130519</v>
      </c>
      <c r="N21" s="47">
        <f>$M10-'Debt Schedule'!$E$18</f>
        <v>181028.79864210519</v>
      </c>
      <c r="O21" s="47">
        <f>$N10-'Debt Schedule'!$F$18+$O10/F$6*(1-Assumptions!$B$34)-'Debt Schedule'!$F$17</f>
        <v>2283675.7337685921</v>
      </c>
      <c r="P21" s="46">
        <f t="shared" si="2"/>
        <v>0.11066503239236591</v>
      </c>
    </row>
    <row r="22" spans="9:16" x14ac:dyDescent="0.25">
      <c r="I22" s="13" t="s">
        <v>167</v>
      </c>
      <c r="J22" s="47">
        <f>-'Cash Flow &amp; Returns'!$B$7</f>
        <v>-1866000</v>
      </c>
      <c r="K22" s="47">
        <f>$J10-'Debt Schedule'!$B$18</f>
        <v>153839.41646130523</v>
      </c>
      <c r="L22" s="47">
        <f>$K10-'Debt Schedule'!$C$18</f>
        <v>162744.56846130523</v>
      </c>
      <c r="M22" s="47">
        <f>$L10-'Debt Schedule'!$D$18</f>
        <v>171806.82350130519</v>
      </c>
      <c r="N22" s="47">
        <f>$M10-'Debt Schedule'!$E$18</f>
        <v>181028.79864210519</v>
      </c>
      <c r="O22" s="47">
        <f>$N10-'Debt Schedule'!$F$18+$O10/G$6*(1-Assumptions!$B$34)-'Debt Schedule'!$F$17</f>
        <v>1941439.2624183069</v>
      </c>
      <c r="P22" s="46">
        <f t="shared" si="2"/>
        <v>8.0914140388558931E-2</v>
      </c>
    </row>
    <row r="23" spans="9:16" x14ac:dyDescent="0.25">
      <c r="I23" s="13" t="s">
        <v>168</v>
      </c>
      <c r="J23" s="47">
        <f>-'Cash Flow &amp; Returns'!$B$7</f>
        <v>-1866000</v>
      </c>
      <c r="K23" s="47">
        <f>$J11-'Debt Schedule'!$B$18</f>
        <v>153839.41646130523</v>
      </c>
      <c r="L23" s="47">
        <f>$K11-'Debt Schedule'!$C$18</f>
        <v>166020.85646130517</v>
      </c>
      <c r="M23" s="47">
        <f>$L11-'Debt Schedule'!$D$18</f>
        <v>178506.8324613052</v>
      </c>
      <c r="N23" s="47">
        <f>$M11-'Debt Schedule'!$E$18</f>
        <v>191304.9578613051</v>
      </c>
      <c r="O23" s="47">
        <f>$N11-'Debt Schedule'!$F$18+$O11/C$6*(1-Assumptions!$B$34)-'Debt Schedule'!$F$17</f>
        <v>3855450.6417662916</v>
      </c>
      <c r="P23" s="46">
        <f t="shared" si="2"/>
        <v>0.21743420369910593</v>
      </c>
    </row>
    <row r="24" spans="9:16" x14ac:dyDescent="0.25">
      <c r="I24" s="13" t="s">
        <v>169</v>
      </c>
      <c r="J24" s="47">
        <f>-'Cash Flow &amp; Returns'!$B$7</f>
        <v>-1866000</v>
      </c>
      <c r="K24" s="47">
        <f>$J11-'Debt Schedule'!$B$18</f>
        <v>153839.41646130523</v>
      </c>
      <c r="L24" s="47">
        <f>$K11-'Debt Schedule'!$C$18</f>
        <v>166020.85646130517</v>
      </c>
      <c r="M24" s="47">
        <f>$L11-'Debt Schedule'!$D$18</f>
        <v>178506.8324613052</v>
      </c>
      <c r="N24" s="47">
        <f>$M11-'Debt Schedule'!$E$18</f>
        <v>191304.9578613051</v>
      </c>
      <c r="O24" s="47">
        <f>$N11-'Debt Schedule'!$F$18+$O11/D$6*(1-Assumptions!$B$34)-'Debt Schedule'!$F$17</f>
        <v>3340915.8746951423</v>
      </c>
      <c r="P24" s="46">
        <f t="shared" si="2"/>
        <v>0.18733848679993703</v>
      </c>
    </row>
    <row r="25" spans="9:16" x14ac:dyDescent="0.25">
      <c r="I25" s="13" t="s">
        <v>170</v>
      </c>
      <c r="J25" s="47">
        <f>-'Cash Flow &amp; Returns'!$B$7</f>
        <v>-1866000</v>
      </c>
      <c r="K25" s="47">
        <f>$J11-'Debt Schedule'!$B$18</f>
        <v>153839.41646130523</v>
      </c>
      <c r="L25" s="47">
        <f>$K11-'Debt Schedule'!$C$18</f>
        <v>166020.85646130517</v>
      </c>
      <c r="M25" s="47">
        <f>$L11-'Debt Schedule'!$D$18</f>
        <v>178506.8324613052</v>
      </c>
      <c r="N25" s="47">
        <f>$M11-'Debt Schedule'!$E$18</f>
        <v>191304.9578613051</v>
      </c>
      <c r="O25" s="47">
        <f>$N11-'Debt Schedule'!$F$18+$O11/E$6*(1-Assumptions!$B$34)-'Debt Schedule'!$F$17</f>
        <v>2890697.9535078858</v>
      </c>
      <c r="P25" s="46">
        <f t="shared" si="2"/>
        <v>0.15803215751753008</v>
      </c>
    </row>
    <row r="26" spans="9:16" x14ac:dyDescent="0.25">
      <c r="I26" s="13" t="s">
        <v>171</v>
      </c>
      <c r="J26" s="47">
        <f>-'Cash Flow &amp; Returns'!$B$7</f>
        <v>-1866000</v>
      </c>
      <c r="K26" s="47">
        <f>$J11-'Debt Schedule'!$B$18</f>
        <v>153839.41646130523</v>
      </c>
      <c r="L26" s="47">
        <f>$K11-'Debt Schedule'!$C$18</f>
        <v>166020.85646130517</v>
      </c>
      <c r="M26" s="47">
        <f>$L11-'Debt Schedule'!$D$18</f>
        <v>178506.8324613052</v>
      </c>
      <c r="N26" s="47">
        <f>$M11-'Debt Schedule'!$E$18</f>
        <v>191304.9578613051</v>
      </c>
      <c r="O26" s="47">
        <f>$N11-'Debt Schedule'!$F$18+$O11/F$6*(1-Assumptions!$B$34)-'Debt Schedule'!$F$17</f>
        <v>2493446.8465779531</v>
      </c>
      <c r="P26" s="46">
        <f t="shared" si="2"/>
        <v>0.12923170265938499</v>
      </c>
    </row>
    <row r="27" spans="9:16" x14ac:dyDescent="0.25">
      <c r="I27" s="13" t="s">
        <v>172</v>
      </c>
      <c r="J27" s="47">
        <f>-'Cash Flow &amp; Returns'!$B$7</f>
        <v>-1866000</v>
      </c>
      <c r="K27" s="47">
        <f>$J11-'Debt Schedule'!$B$18</f>
        <v>153839.41646130523</v>
      </c>
      <c r="L27" s="47">
        <f>$K11-'Debt Schedule'!$C$18</f>
        <v>166020.85646130517</v>
      </c>
      <c r="M27" s="47">
        <f>$L11-'Debt Schedule'!$D$18</f>
        <v>178506.8324613052</v>
      </c>
      <c r="N27" s="47">
        <f>$M11-'Debt Schedule'!$E$18</f>
        <v>191304.9578613051</v>
      </c>
      <c r="O27" s="47">
        <f>$N11-'Debt Schedule'!$F$18+$O11/G$6*(1-Assumptions!$B$34)-'Debt Schedule'!$F$17</f>
        <v>2140334.751529126</v>
      </c>
      <c r="P27" s="46">
        <f t="shared" si="2"/>
        <v>0.10066513298081792</v>
      </c>
    </row>
    <row r="28" spans="9:16" x14ac:dyDescent="0.25">
      <c r="I28" s="13" t="s">
        <v>173</v>
      </c>
      <c r="J28" s="47">
        <f>-'Cash Flow &amp; Returns'!$B$7</f>
        <v>-1866000</v>
      </c>
      <c r="K28" s="47">
        <f>$J12-'Debt Schedule'!$B$18</f>
        <v>153839.41646130523</v>
      </c>
      <c r="L28" s="47">
        <f>$K12-'Debt Schedule'!$C$18</f>
        <v>169297.14446130523</v>
      </c>
      <c r="M28" s="47">
        <f>$L12-'Debt Schedule'!$D$18</f>
        <v>185239.60430130514</v>
      </c>
      <c r="N28" s="47">
        <f>$M12-'Debt Schedule'!$E$18</f>
        <v>201681.86293650523</v>
      </c>
      <c r="O28" s="47">
        <f>$N12-'Debt Schedule'!$F$18+$O12/C$6*(1-Assumptions!$B$34)-'Debt Schedule'!$F$17</f>
        <v>4112316.6627985542</v>
      </c>
      <c r="P28" s="46">
        <f t="shared" si="2"/>
        <v>0.23288328054833762</v>
      </c>
    </row>
    <row r="29" spans="9:16" x14ac:dyDescent="0.25">
      <c r="I29" s="13" t="s">
        <v>174</v>
      </c>
      <c r="J29" s="47">
        <f>-'Cash Flow &amp; Returns'!$B$7</f>
        <v>-1866000</v>
      </c>
      <c r="K29" s="47">
        <f>$J12-'Debt Schedule'!$B$18</f>
        <v>153839.41646130523</v>
      </c>
      <c r="L29" s="47">
        <f>$K12-'Debt Schedule'!$C$18</f>
        <v>169297.14446130523</v>
      </c>
      <c r="M29" s="47">
        <f>$L12-'Debt Schedule'!$D$18</f>
        <v>185239.60430130514</v>
      </c>
      <c r="N29" s="47">
        <f>$M12-'Debt Schedule'!$E$18</f>
        <v>201681.86293650523</v>
      </c>
      <c r="O29" s="47">
        <f>$N12-'Debt Schedule'!$F$18+$O12/D$6*(1-Assumptions!$B$34)-'Debt Schedule'!$F$17</f>
        <v>3581605.255395886</v>
      </c>
      <c r="P29" s="46">
        <f t="shared" si="2"/>
        <v>0.20345151545229578</v>
      </c>
    </row>
    <row r="30" spans="9:16" x14ac:dyDescent="0.25">
      <c r="I30" s="13" t="s">
        <v>175</v>
      </c>
      <c r="J30" s="47">
        <f>-'Cash Flow &amp; Returns'!$B$7</f>
        <v>-1866000</v>
      </c>
      <c r="K30" s="47">
        <f>$J12-'Debt Schedule'!$B$18</f>
        <v>153839.41646130523</v>
      </c>
      <c r="L30" s="47">
        <f>$K12-'Debt Schedule'!$C$18</f>
        <v>169297.14446130523</v>
      </c>
      <c r="M30" s="47">
        <f>$L12-'Debt Schedule'!$D$18</f>
        <v>185239.60430130514</v>
      </c>
      <c r="N30" s="47">
        <f>$M12-'Debt Schedule'!$E$18</f>
        <v>201681.86293650523</v>
      </c>
      <c r="O30" s="47">
        <f>$N12-'Debt Schedule'!$F$18+$O12/E$6*(1-Assumptions!$B$34)-'Debt Schedule'!$F$17</f>
        <v>3117232.7739185481</v>
      </c>
      <c r="P30" s="46">
        <f t="shared" si="2"/>
        <v>0.17490657409005417</v>
      </c>
    </row>
    <row r="31" spans="9:16" x14ac:dyDescent="0.25">
      <c r="I31" s="13" t="s">
        <v>176</v>
      </c>
      <c r="J31" s="47">
        <f>-'Cash Flow &amp; Returns'!$B$7</f>
        <v>-1866000</v>
      </c>
      <c r="K31" s="47">
        <f>$J12-'Debt Schedule'!$B$18</f>
        <v>153839.41646130523</v>
      </c>
      <c r="L31" s="47">
        <f>$K12-'Debt Schedule'!$C$18</f>
        <v>169297.14446130523</v>
      </c>
      <c r="M31" s="47">
        <f>$L12-'Debt Schedule'!$D$18</f>
        <v>185239.60430130514</v>
      </c>
      <c r="N31" s="47">
        <f>$M12-'Debt Schedule'!$E$18</f>
        <v>201681.86293650523</v>
      </c>
      <c r="O31" s="47">
        <f>$N12-'Debt Schedule'!$F$18+$O12/F$6*(1-Assumptions!$B$34)-'Debt Schedule'!$F$17</f>
        <v>2707492.3490856034</v>
      </c>
      <c r="P31" s="46">
        <f t="shared" si="2"/>
        <v>0.14698356662986356</v>
      </c>
    </row>
    <row r="32" spans="9:16" x14ac:dyDescent="0.25">
      <c r="I32" s="13" t="s">
        <v>177</v>
      </c>
      <c r="J32" s="47">
        <f>-'Cash Flow &amp; Returns'!$B$7</f>
        <v>-1866000</v>
      </c>
      <c r="K32" s="47">
        <f>$J12-'Debt Schedule'!$B$18</f>
        <v>153839.41646130523</v>
      </c>
      <c r="L32" s="47">
        <f>$K12-'Debt Schedule'!$C$18</f>
        <v>169297.14446130523</v>
      </c>
      <c r="M32" s="47">
        <f>$L12-'Debt Schedule'!$D$18</f>
        <v>185239.60430130514</v>
      </c>
      <c r="N32" s="47">
        <f>$M12-'Debt Schedule'!$E$18</f>
        <v>201681.86293650523</v>
      </c>
      <c r="O32" s="47">
        <f>$N12-'Debt Schedule'!$F$18+$O12/G$6*(1-Assumptions!$B$34)-'Debt Schedule'!$F$17</f>
        <v>2343278.6381229875</v>
      </c>
      <c r="P32" s="46">
        <f t="shared" si="2"/>
        <v>0.11943556358182628</v>
      </c>
    </row>
    <row r="33" spans="9:16" x14ac:dyDescent="0.25">
      <c r="I33" s="13" t="s">
        <v>178</v>
      </c>
      <c r="J33" s="47">
        <f>-'Cash Flow &amp; Returns'!$B$7</f>
        <v>-1866000</v>
      </c>
      <c r="K33" s="47">
        <f>$J13-'Debt Schedule'!$B$18</f>
        <v>153839.41646130523</v>
      </c>
      <c r="L33" s="47">
        <f>$K13-'Debt Schedule'!$C$18</f>
        <v>172573.43246130517</v>
      </c>
      <c r="M33" s="47">
        <f>$L13-'Debt Schedule'!$D$18</f>
        <v>192005.13902130513</v>
      </c>
      <c r="N33" s="47">
        <f>$M13-'Debt Schedule'!$E$18</f>
        <v>212160.00531090505</v>
      </c>
      <c r="O33" s="47">
        <f>$N13-'Debt Schedule'!$F$18+$O13/C$6*(1-Assumptions!$B$34)-'Debt Schedule'!$F$17</f>
        <v>4374403.4162416551</v>
      </c>
      <c r="P33" s="46">
        <f t="shared" si="2"/>
        <v>0.24788400450057813</v>
      </c>
    </row>
    <row r="34" spans="9:16" x14ac:dyDescent="0.25">
      <c r="I34" s="13" t="s">
        <v>179</v>
      </c>
      <c r="J34" s="47">
        <f>-'Cash Flow &amp; Returns'!$B$7</f>
        <v>-1866000</v>
      </c>
      <c r="K34" s="47">
        <f>$J13-'Debt Schedule'!$B$18</f>
        <v>153839.41646130523</v>
      </c>
      <c r="L34" s="47">
        <f>$K13-'Debt Schedule'!$C$18</f>
        <v>172573.43246130517</v>
      </c>
      <c r="M34" s="47">
        <f>$L13-'Debt Schedule'!$D$18</f>
        <v>192005.13902130513</v>
      </c>
      <c r="N34" s="47">
        <f>$M13-'Debt Schedule'!$E$18</f>
        <v>212160.00531090505</v>
      </c>
      <c r="O34" s="47">
        <f>$N13-'Debt Schedule'!$F$18+$O13/D$6*(1-Assumptions!$B$34)-'Debt Schedule'!$F$17</f>
        <v>3827181.2229904369</v>
      </c>
      <c r="P34" s="46">
        <f t="shared" si="2"/>
        <v>0.21904352530706706</v>
      </c>
    </row>
    <row r="35" spans="9:16" x14ac:dyDescent="0.25">
      <c r="I35" s="13" t="s">
        <v>180</v>
      </c>
      <c r="J35" s="47">
        <f>-'Cash Flow &amp; Returns'!$B$7</f>
        <v>-1866000</v>
      </c>
      <c r="K35" s="47">
        <f>$J13-'Debt Schedule'!$B$18</f>
        <v>153839.41646130523</v>
      </c>
      <c r="L35" s="47">
        <f>$K13-'Debt Schedule'!$C$18</f>
        <v>172573.43246130517</v>
      </c>
      <c r="M35" s="47">
        <f>$L13-'Debt Schedule'!$D$18</f>
        <v>192005.13902130513</v>
      </c>
      <c r="N35" s="47">
        <f>$M13-'Debt Schedule'!$E$18</f>
        <v>212160.00531090505</v>
      </c>
      <c r="O35" s="47">
        <f>$N13-'Debt Schedule'!$F$18+$O13/E$6*(1-Assumptions!$B$34)-'Debt Schedule'!$F$17</f>
        <v>3348361.8038956202</v>
      </c>
      <c r="P35" s="46">
        <f t="shared" si="2"/>
        <v>0.19117195205168414</v>
      </c>
    </row>
    <row r="36" spans="9:16" x14ac:dyDescent="0.25">
      <c r="I36" s="13" t="s">
        <v>181</v>
      </c>
      <c r="J36" s="47">
        <f>-'Cash Flow &amp; Returns'!$B$7</f>
        <v>-1866000</v>
      </c>
      <c r="K36" s="47">
        <f>$J13-'Debt Schedule'!$B$18</f>
        <v>153839.41646130523</v>
      </c>
      <c r="L36" s="47">
        <f>$K13-'Debt Schedule'!$C$18</f>
        <v>172573.43246130517</v>
      </c>
      <c r="M36" s="47">
        <f>$L13-'Debt Schedule'!$D$18</f>
        <v>192005.13902130513</v>
      </c>
      <c r="N36" s="47">
        <f>$M13-'Debt Schedule'!$E$18</f>
        <v>212160.00531090505</v>
      </c>
      <c r="O36" s="47">
        <f>$N13-'Debt Schedule'!$F$18+$O13/F$6*(1-Assumptions!$B$34)-'Debt Schedule'!$F$17</f>
        <v>2925874.0811648997</v>
      </c>
      <c r="P36" s="46">
        <f t="shared" si="2"/>
        <v>0.16401839125511475</v>
      </c>
    </row>
    <row r="37" spans="9:16" x14ac:dyDescent="0.25">
      <c r="I37" s="13" t="s">
        <v>182</v>
      </c>
      <c r="J37" s="47">
        <f>-'Cash Flow &amp; Returns'!$B$7</f>
        <v>-1866000</v>
      </c>
      <c r="K37" s="47">
        <f>$J13-'Debt Schedule'!$B$18</f>
        <v>153839.41646130523</v>
      </c>
      <c r="L37" s="47">
        <f>$K13-'Debt Schedule'!$C$18</f>
        <v>172573.43246130517</v>
      </c>
      <c r="M37" s="47">
        <f>$L13-'Debt Schedule'!$D$18</f>
        <v>192005.13902130513</v>
      </c>
      <c r="N37" s="47">
        <f>$M13-'Debt Schedule'!$E$18</f>
        <v>212160.00531090505</v>
      </c>
      <c r="O37" s="47">
        <f>$N13-'Debt Schedule'!$F$18+$O13/G$6*(1-Assumptions!$B$34)-'Debt Schedule'!$F$17</f>
        <v>2550329.4387375941</v>
      </c>
      <c r="P37" s="46">
        <f t="shared" si="2"/>
        <v>0.13735444647616712</v>
      </c>
    </row>
    <row r="38" spans="9:16" x14ac:dyDescent="0.25">
      <c r="I38" s="13" t="s">
        <v>183</v>
      </c>
      <c r="J38" s="47">
        <f>-'Cash Flow &amp; Returns'!$B$7</f>
        <v>-1866000</v>
      </c>
      <c r="K38" s="47">
        <f>$J14-'Debt Schedule'!$B$18</f>
        <v>153839.41646130523</v>
      </c>
      <c r="L38" s="47">
        <f>$K14-'Debt Schedule'!$C$18</f>
        <v>175849.72046130523</v>
      </c>
      <c r="M38" s="47">
        <f>$L14-'Debt Schedule'!$D$18</f>
        <v>198803.4366213053</v>
      </c>
      <c r="N38" s="47">
        <f>$M14-'Debt Schedule'!$E$18</f>
        <v>222739.87642770528</v>
      </c>
      <c r="O38" s="47">
        <f>$N14-'Debt Schedule'!$F$18+$O14/C$6*(1-Assumptions!$B$34)-'Debt Schedule'!$F$17</f>
        <v>4641786.2790393177</v>
      </c>
      <c r="P38" s="46">
        <f t="shared" si="2"/>
        <v>0.26247640168427733</v>
      </c>
    </row>
    <row r="39" spans="9:16" x14ac:dyDescent="0.25">
      <c r="I39" s="13" t="s">
        <v>184</v>
      </c>
      <c r="J39" s="47">
        <f>-'Cash Flow &amp; Returns'!$B$7</f>
        <v>-1866000</v>
      </c>
      <c r="K39" s="47">
        <f>$J14-'Debt Schedule'!$B$18</f>
        <v>153839.41646130523</v>
      </c>
      <c r="L39" s="47">
        <f>$K14-'Debt Schedule'!$C$18</f>
        <v>175849.72046130523</v>
      </c>
      <c r="M39" s="47">
        <f>$L14-'Debt Schedule'!$D$18</f>
        <v>198803.4366213053</v>
      </c>
      <c r="N39" s="47">
        <f>$M14-'Debt Schedule'!$E$18</f>
        <v>222739.87642770528</v>
      </c>
      <c r="O39" s="47">
        <f>$N14-'Debt Schedule'!$F$18+$O14/D$6*(1-Assumptions!$B$34)-'Debt Schedule'!$F$17</f>
        <v>4077714.2646036376</v>
      </c>
      <c r="P39" s="46">
        <f t="shared" si="2"/>
        <v>0.23416463728709136</v>
      </c>
    </row>
    <row r="40" spans="9:16" x14ac:dyDescent="0.25">
      <c r="I40" s="13" t="s">
        <v>185</v>
      </c>
      <c r="J40" s="47">
        <f>-'Cash Flow &amp; Returns'!$B$7</f>
        <v>-1866000</v>
      </c>
      <c r="K40" s="47">
        <f>$J14-'Debt Schedule'!$B$18</f>
        <v>153839.41646130523</v>
      </c>
      <c r="L40" s="47">
        <f>$K14-'Debt Schedule'!$C$18</f>
        <v>175849.72046130523</v>
      </c>
      <c r="M40" s="47">
        <f>$L14-'Debt Schedule'!$D$18</f>
        <v>198803.4366213053</v>
      </c>
      <c r="N40" s="47">
        <f>$M14-'Debt Schedule'!$E$18</f>
        <v>222739.87642770528</v>
      </c>
      <c r="O40" s="47">
        <f>$N14-'Debt Schedule'!$F$18+$O14/E$6*(1-Assumptions!$B$34)-'Debt Schedule'!$F$17</f>
        <v>3584151.2519724169</v>
      </c>
      <c r="P40" s="46">
        <f t="shared" si="2"/>
        <v>0.20689162197471167</v>
      </c>
    </row>
    <row r="41" spans="9:16" x14ac:dyDescent="0.25">
      <c r="I41" s="13" t="s">
        <v>186</v>
      </c>
      <c r="J41" s="47">
        <f>-'Cash Flow &amp; Returns'!$B$7</f>
        <v>-1866000</v>
      </c>
      <c r="K41" s="47">
        <f>$J14-'Debt Schedule'!$B$18</f>
        <v>153839.41646130523</v>
      </c>
      <c r="L41" s="47">
        <f>$K14-'Debt Schedule'!$C$18</f>
        <v>175849.72046130523</v>
      </c>
      <c r="M41" s="47">
        <f>$L14-'Debt Schedule'!$D$18</f>
        <v>198803.4366213053</v>
      </c>
      <c r="N41" s="47">
        <f>$M14-'Debt Schedule'!$E$18</f>
        <v>222739.87642770528</v>
      </c>
      <c r="O41" s="47">
        <f>$N14-'Debt Schedule'!$F$18+$O14/F$6*(1-Assumptions!$B$34)-'Debt Schedule'!$F$17</f>
        <v>3148654.4761213386</v>
      </c>
      <c r="P41" s="46">
        <f t="shared" si="2"/>
        <v>0.18041706842659511</v>
      </c>
    </row>
    <row r="42" spans="9:16" x14ac:dyDescent="0.25">
      <c r="I42" s="13" t="s">
        <v>187</v>
      </c>
      <c r="J42" s="47">
        <f>-'Cash Flow &amp; Returns'!$B$7</f>
        <v>-1866000</v>
      </c>
      <c r="K42" s="47">
        <f>$J14-'Debt Schedule'!$B$18</f>
        <v>153839.41646130523</v>
      </c>
      <c r="L42" s="47">
        <f>$K14-'Debt Schedule'!$C$18</f>
        <v>175849.72046130523</v>
      </c>
      <c r="M42" s="47">
        <f>$L14-'Debt Schedule'!$D$18</f>
        <v>198803.4366213053</v>
      </c>
      <c r="N42" s="47">
        <f>$M14-'Debt Schedule'!$E$18</f>
        <v>222739.87642770528</v>
      </c>
      <c r="O42" s="47">
        <f>$N14-'Debt Schedule'!$F$18+$O14/G$6*(1-Assumptions!$B$34)-'Debt Schedule'!$F$17</f>
        <v>2761546.2309203814</v>
      </c>
      <c r="P42" s="46">
        <f t="shared" si="2"/>
        <v>0.15452645342595361</v>
      </c>
    </row>
  </sheetData>
  <mergeCells count="1">
    <mergeCell ref="A1:D1"/>
  </mergeCells>
  <conditionalFormatting sqref="C7:G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Explanation</vt:lpstr>
      <vt:lpstr>Assumptions</vt:lpstr>
      <vt:lpstr>Rent Roll</vt:lpstr>
      <vt:lpstr>Operating Expenses</vt:lpstr>
      <vt:lpstr>Debt Schedule</vt:lpstr>
      <vt:lpstr>Cash Flow &amp; Returns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Kevin Rudenski</cp:lastModifiedBy>
  <cp:revision>0</cp:revision>
  <dcterms:created xsi:type="dcterms:W3CDTF">2026-08-28T00:58:18Z</dcterms:created>
  <dcterms:modified xsi:type="dcterms:W3CDTF">2026-08-30T15:55:54Z</dcterms:modified>
  <dc:language>en-US</dc:language>
</cp:coreProperties>
</file>